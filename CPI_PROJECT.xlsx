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bcfed10af85065a9/Desktop/"/>
    </mc:Choice>
  </mc:AlternateContent>
  <xr:revisionPtr revIDLastSave="2136" documentId="8_{50064AB9-2842-455E-9DAD-63257809526D}" xr6:coauthVersionLast="47" xr6:coauthVersionMax="47" xr10:uidLastSave="{85785B85-E785-4738-B2D4-5E081D342486}"/>
  <bookViews>
    <workbookView xWindow="-108" yWindow="-108" windowWidth="23256" windowHeight="12456" xr2:uid="{97893189-90F8-4DC4-A12A-F0103A221640}"/>
  </bookViews>
  <sheets>
    <sheet name="All_India_Index_Upto_April23" sheetId="1" r:id="rId1"/>
    <sheet name="Q1" sheetId="4" r:id="rId2"/>
    <sheet name="Q2" sheetId="3" r:id="rId3"/>
    <sheet name="Q3" sheetId="6" r:id="rId4"/>
    <sheet name="Q4" sheetId="7" r:id="rId5"/>
    <sheet name="Q5" sheetId="8" r:id="rId6"/>
  </sheets>
  <definedNames>
    <definedName name="_xlnm._FilterDatabase" localSheetId="0" hidden="1">All_India_Index_Upto_April23!$A$1:$AD$370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76" i="8" l="1"/>
  <c r="AA76" i="8"/>
  <c r="Z76" i="8"/>
  <c r="Y76" i="8"/>
  <c r="X76" i="8"/>
  <c r="W76" i="8"/>
  <c r="V76" i="8"/>
  <c r="U76" i="8"/>
  <c r="T76" i="8"/>
  <c r="S76" i="8"/>
  <c r="R76" i="8"/>
  <c r="Q76" i="8"/>
  <c r="P76" i="8"/>
  <c r="O76" i="8"/>
  <c r="N76" i="8"/>
  <c r="M76" i="8"/>
  <c r="L76" i="8"/>
  <c r="K76" i="8"/>
  <c r="J76" i="8"/>
  <c r="I76" i="8"/>
  <c r="H76" i="8"/>
  <c r="G76" i="8"/>
  <c r="F76" i="8"/>
  <c r="E76" i="8"/>
  <c r="D76" i="8"/>
  <c r="C76" i="8"/>
  <c r="T40" i="8"/>
  <c r="AB40" i="8"/>
  <c r="AA40" i="8"/>
  <c r="Z40" i="8"/>
  <c r="Y40" i="8"/>
  <c r="X40" i="8"/>
  <c r="W40" i="8"/>
  <c r="V40" i="8"/>
  <c r="U40" i="8"/>
  <c r="S40" i="8"/>
  <c r="R40" i="8"/>
  <c r="Q40" i="8"/>
  <c r="P40" i="8"/>
  <c r="O40" i="8"/>
  <c r="N40" i="8"/>
  <c r="M40" i="8"/>
  <c r="L40" i="8"/>
  <c r="K40" i="8"/>
  <c r="J40" i="8"/>
  <c r="I40" i="8"/>
  <c r="H40" i="8"/>
  <c r="G40" i="8"/>
  <c r="F40" i="8"/>
  <c r="E40" i="8"/>
  <c r="D40" i="8"/>
  <c r="C40" i="8"/>
  <c r="M4" i="8"/>
  <c r="D4" i="8"/>
  <c r="E4" i="8"/>
  <c r="F4" i="8"/>
  <c r="G4" i="8"/>
  <c r="H4" i="8"/>
  <c r="I4" i="8"/>
  <c r="J4" i="8"/>
  <c r="K4" i="8"/>
  <c r="L4" i="8"/>
  <c r="N4" i="8"/>
  <c r="O4" i="8"/>
  <c r="P4" i="8"/>
  <c r="Q4" i="8"/>
  <c r="R4" i="8"/>
  <c r="S4" i="8"/>
  <c r="U4" i="8"/>
  <c r="V4" i="8"/>
  <c r="W4" i="8"/>
  <c r="X4" i="8"/>
  <c r="Y4" i="8"/>
  <c r="Z4" i="8"/>
  <c r="AA4" i="8"/>
  <c r="AB4" i="8"/>
  <c r="C4" i="8"/>
  <c r="H69" i="7"/>
  <c r="F69" i="7"/>
  <c r="D69" i="7"/>
  <c r="H68" i="7"/>
  <c r="F68" i="7"/>
  <c r="D68" i="7"/>
  <c r="H67" i="7"/>
  <c r="F67" i="7"/>
  <c r="D67" i="7"/>
  <c r="H66" i="7"/>
  <c r="F66" i="7"/>
  <c r="D66" i="7"/>
  <c r="H65" i="7"/>
  <c r="F65" i="7"/>
  <c r="D65" i="7"/>
  <c r="H64" i="7"/>
  <c r="F64" i="7"/>
  <c r="D64" i="7"/>
  <c r="H63" i="7"/>
  <c r="F63" i="7"/>
  <c r="D63" i="7"/>
  <c r="H40" i="7"/>
  <c r="F40" i="7"/>
  <c r="D40" i="7"/>
  <c r="H39" i="7"/>
  <c r="F39" i="7"/>
  <c r="D39" i="7"/>
  <c r="H38" i="7"/>
  <c r="F38" i="7"/>
  <c r="D38" i="7"/>
  <c r="H37" i="7"/>
  <c r="F37" i="7"/>
  <c r="D37" i="7"/>
  <c r="H36" i="7"/>
  <c r="F36" i="7"/>
  <c r="D36" i="7"/>
  <c r="H35" i="7"/>
  <c r="F35" i="7"/>
  <c r="D35" i="7"/>
  <c r="H34" i="7"/>
  <c r="F34" i="7"/>
  <c r="D34" i="7"/>
  <c r="H6" i="7"/>
  <c r="H7" i="7"/>
  <c r="H8" i="7"/>
  <c r="H9" i="7"/>
  <c r="H10" i="7"/>
  <c r="H11" i="7"/>
  <c r="H5" i="7"/>
  <c r="D6" i="7"/>
  <c r="D7" i="7"/>
  <c r="D8" i="7"/>
  <c r="D9" i="7"/>
  <c r="D10" i="7"/>
  <c r="D11" i="7"/>
  <c r="D5" i="7"/>
  <c r="F6" i="7"/>
  <c r="F7" i="7"/>
  <c r="F8" i="7"/>
  <c r="F9" i="7"/>
  <c r="F10" i="7"/>
  <c r="F11" i="7"/>
  <c r="F5" i="7"/>
  <c r="E73" i="6"/>
  <c r="F73" i="6" s="1"/>
  <c r="E72" i="6"/>
  <c r="F72" i="6" s="1"/>
  <c r="E71" i="6"/>
  <c r="F71" i="6" s="1"/>
  <c r="E70" i="6"/>
  <c r="F70" i="6" s="1"/>
  <c r="E69" i="6"/>
  <c r="F69" i="6" s="1"/>
  <c r="E68" i="6"/>
  <c r="F68" i="6" s="1"/>
  <c r="E67" i="6"/>
  <c r="F67" i="6" s="1"/>
  <c r="E66" i="6"/>
  <c r="F66" i="6" s="1"/>
  <c r="E65" i="6"/>
  <c r="F65" i="6" s="1"/>
  <c r="E64" i="6"/>
  <c r="F64" i="6" s="1"/>
  <c r="E63" i="6"/>
  <c r="F63" i="6" s="1"/>
  <c r="E62" i="6"/>
  <c r="F62" i="6" s="1"/>
  <c r="E33" i="6"/>
  <c r="E44" i="6"/>
  <c r="F44" i="6" s="1"/>
  <c r="E43" i="6"/>
  <c r="F43" i="6" s="1"/>
  <c r="E42" i="6"/>
  <c r="F42" i="6" s="1"/>
  <c r="E41" i="6"/>
  <c r="F41" i="6" s="1"/>
  <c r="E40" i="6"/>
  <c r="F40" i="6" s="1"/>
  <c r="E39" i="6"/>
  <c r="F39" i="6" s="1"/>
  <c r="E38" i="6"/>
  <c r="F38" i="6" s="1"/>
  <c r="E37" i="6"/>
  <c r="F37" i="6" s="1"/>
  <c r="E36" i="6"/>
  <c r="F36" i="6" s="1"/>
  <c r="E35" i="6"/>
  <c r="F35" i="6" s="1"/>
  <c r="E34" i="6"/>
  <c r="F34" i="6" s="1"/>
  <c r="F33" i="6"/>
  <c r="F11" i="6"/>
  <c r="F15" i="6"/>
  <c r="E4" i="6"/>
  <c r="F4" i="6" s="1"/>
  <c r="E5" i="6"/>
  <c r="F5" i="6" s="1"/>
  <c r="E6" i="6"/>
  <c r="F6" i="6" s="1"/>
  <c r="E7" i="6"/>
  <c r="F7" i="6" s="1"/>
  <c r="E8" i="6"/>
  <c r="F8" i="6" s="1"/>
  <c r="E9" i="6"/>
  <c r="F9" i="6" s="1"/>
  <c r="E10" i="6"/>
  <c r="F10" i="6" s="1"/>
  <c r="E11" i="6"/>
  <c r="E12" i="6"/>
  <c r="F12" i="6" s="1"/>
  <c r="E13" i="6"/>
  <c r="F13" i="6" s="1"/>
  <c r="E14" i="6"/>
  <c r="F14" i="6" s="1"/>
  <c r="E15" i="6"/>
  <c r="G97" i="4"/>
  <c r="G95" i="4"/>
  <c r="G94" i="4"/>
  <c r="G93" i="4"/>
  <c r="G92" i="4"/>
  <c r="G84" i="4"/>
  <c r="G71" i="4"/>
  <c r="G91" i="4"/>
  <c r="G90" i="4"/>
  <c r="G89" i="4"/>
  <c r="G88" i="4"/>
  <c r="G85" i="4"/>
  <c r="E97" i="4"/>
  <c r="D97" i="4"/>
  <c r="G64" i="4"/>
  <c r="G5" i="4"/>
  <c r="E64" i="4"/>
  <c r="D64" i="4"/>
  <c r="G29" i="4"/>
  <c r="G28" i="4"/>
  <c r="G27" i="4"/>
  <c r="G26" i="4"/>
  <c r="G25" i="4"/>
  <c r="G24" i="4"/>
  <c r="G23" i="4"/>
  <c r="G19" i="4"/>
  <c r="G18" i="4"/>
  <c r="E31" i="4"/>
  <c r="D31" i="4"/>
  <c r="G31" i="4" l="1"/>
</calcChain>
</file>

<file path=xl/sharedStrings.xml><?xml version="1.0" encoding="utf-8"?>
<sst xmlns="http://schemas.openxmlformats.org/spreadsheetml/2006/main" count="1422" uniqueCount="128">
  <si>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</si>
  <si>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</si>
  <si>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</si>
  <si>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</si>
  <si>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</si>
  <si>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</si>
  <si>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</si>
  <si>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</si>
  <si>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</si>
  <si>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</si>
  <si>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</si>
  <si>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</si>
  <si>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</si>
  <si>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</si>
  <si>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</si>
  <si>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</si>
  <si>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</si>
  <si>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</si>
  <si>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</si>
  <si>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</si>
  <si>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</si>
  <si>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</si>
  <si>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</si>
  <si>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</si>
  <si>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</si>
  <si>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</si>
  <si>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Miscellaneous</t>
  </si>
  <si>
    <t>General index</t>
  </si>
  <si>
    <t>Rural</t>
  </si>
  <si>
    <t>January</t>
  </si>
  <si>
    <t>-</t>
  </si>
  <si>
    <t>Urban</t>
  </si>
  <si>
    <t>Rural+Urban</t>
  </si>
  <si>
    <t>February</t>
  </si>
  <si>
    <t>March</t>
  </si>
  <si>
    <t>April</t>
  </si>
  <si>
    <t>May</t>
  </si>
  <si>
    <t>June</t>
  </si>
  <si>
    <t>July</t>
  </si>
  <si>
    <t>August</t>
  </si>
  <si>
    <t>September</t>
  </si>
  <si>
    <t>October</t>
  </si>
  <si>
    <t xml:space="preserve">November </t>
  </si>
  <si>
    <t>November</t>
  </si>
  <si>
    <t>December</t>
  </si>
  <si>
    <t>Marcrh</t>
  </si>
  <si>
    <t>ANNUAL Y-O-Y INFLATION TREND(RURAL+URBAN),2017-2022</t>
  </si>
  <si>
    <t xml:space="preserve">                                         YEAR</t>
  </si>
  <si>
    <t>ANNUAL Y-O-Y</t>
  </si>
  <si>
    <t>Sector                                     —                                     Rural + Urban</t>
  </si>
  <si>
    <t>Index                                      —                                     General Index</t>
  </si>
  <si>
    <t>Period                                  —                                              2017–2022</t>
  </si>
  <si>
    <t>Calculation    —  Monthly Y-o-Y rates ka annual average</t>
  </si>
  <si>
    <t>Highest Inflation Year                    —                                      2022</t>
  </si>
  <si>
    <t>Highest Inflation Rate                      —                                 6.62%</t>
  </si>
  <si>
    <t>CPI Contribution Report of Rural Sector For May 2023</t>
  </si>
  <si>
    <t>Personal care and effects</t>
  </si>
  <si>
    <t>Prepared meals, snacks, sweets etc.</t>
  </si>
  <si>
    <t xml:space="preserve">Prepared meals, snacks, sweets </t>
  </si>
  <si>
    <t>TOTAL</t>
  </si>
  <si>
    <t>CATEGORY</t>
  </si>
  <si>
    <t>PRODUCT TYPE</t>
  </si>
  <si>
    <t>CPI VALUE</t>
  </si>
  <si>
    <t>CPI SUM</t>
  </si>
  <si>
    <t>CONTRIBUTION (%)</t>
  </si>
  <si>
    <t xml:space="preserve"> </t>
  </si>
  <si>
    <t>LATEST AVAILABLE MONTH                               —                                                                                        May 2023</t>
  </si>
  <si>
    <t>TOTAL OF SELECTED CATEGORY INDEX VALUES  —                                                                               4498.8</t>
  </si>
  <si>
    <t>KEY INSIGHITS</t>
  </si>
  <si>
    <t>CPI Contribution Report of Urban Sector For May 2023</t>
  </si>
  <si>
    <t>housing</t>
  </si>
  <si>
    <t>SECTOR                                                                       —                                                                                          RURAL</t>
  </si>
  <si>
    <t>HIGHEST CONTRIBUTION CPI BASKET         —                                     FOOD AND BEVERAGES — 50.92%</t>
  </si>
  <si>
    <t>TOTAL CONTRIBUTION                                          —                                                                                            100%</t>
  </si>
  <si>
    <t>SECTOR                                                                       —                                                                                         URBAN</t>
  </si>
  <si>
    <t>TOTAL OF SELECTED CATEGORY INDEX VALUES  —                                                                               4640.9</t>
  </si>
  <si>
    <t>HIGHEST CONTRIBUTION CPI BASKET         —                                    FOOD AND BEVERAGES — 50.32%</t>
  </si>
  <si>
    <t>TOTAL CONTRIBUTION                                          —                                                                                             100%</t>
  </si>
  <si>
    <t>CPI Contribution Report of Rural+Urban Sector For May 2023</t>
  </si>
  <si>
    <t>SECTOR                                                                       —                                                                               Rural+URBAN</t>
  </si>
  <si>
    <t>TOTAL OF SELECTED CATEGORY INDEX VALUES  —                                                                               4654.4</t>
  </si>
  <si>
    <t>HIGHEST CONTRIBUTION CPI BASKET         —                                    FOOD AND BEVERAGES — 49.56%</t>
  </si>
  <si>
    <t>Previous Month Index</t>
  </si>
  <si>
    <t xml:space="preserve"> MoM Change</t>
  </si>
  <si>
    <t>MoM Inflation %</t>
  </si>
  <si>
    <t>Food Categories Average</t>
  </si>
  <si>
    <t>Monthly Food Inflation Trend Analysis For Rural Sector (June 2022 – May 2023)</t>
  </si>
  <si>
    <t>SECTOR                                                                            —                                                              Rural</t>
  </si>
  <si>
    <t>HIGHEST FOOD INFLATION                                —                              June 2022    0.97%</t>
  </si>
  <si>
    <t>LOWEST FOOD INFLATION                                 —                   February 2023   -0.77%</t>
  </si>
  <si>
    <t>Monthly Food Inflation Trend Analysis For Urban Sector (June 2022 – May 2023)</t>
  </si>
  <si>
    <t>HIGHEST FOOD INFLATION                                —                              June 2022    1.12%</t>
  </si>
  <si>
    <t>LOWEST FOOD INFLATION                                 —                december 2022   -0.80%</t>
  </si>
  <si>
    <t>SECTOR                                                                            —                                                             Urban</t>
  </si>
  <si>
    <t>Monthly Food Inflation Trend Analysis For Rural+Urban Sector (June 2022 – May 2023)</t>
  </si>
  <si>
    <t>HIGHEST FOOD INFLATION                                —                              June 2022    1.03%</t>
  </si>
  <si>
    <t>LOWEST FOOD INFLATION                                 —                   February 2023   -0.59%</t>
  </si>
  <si>
    <t>SECTOR                                                                            —                                            Rural+Urban</t>
  </si>
  <si>
    <t>Food Categories(Total)</t>
  </si>
  <si>
    <t>Inflation Rate(Food)</t>
  </si>
  <si>
    <t>Inflation Rate(Health)</t>
  </si>
  <si>
    <t>Inflation Rate(Essential Service)</t>
  </si>
  <si>
    <t>Essential Service</t>
  </si>
  <si>
    <t xml:space="preserve"> 1. Food inflation rose sharply from -1.17% (2019) to 7.57% (2020).</t>
  </si>
  <si>
    <t xml:space="preserve"> 2. Food inflation remained high until 2022, then fell to 3.98% in 2023.</t>
  </si>
  <si>
    <t xml:space="preserve"> 3. Healthcare inflation fell from 10.02% (2019) to 4.19% (2020).</t>
  </si>
  <si>
    <t xml:space="preserve"> 4. Essential services fell to 3.10% in 2020, then rose to 7.37% in 2022.</t>
  </si>
  <si>
    <t xml:space="preserve"> 5. Overall, inflation trends changed noticeably around the COVID-19 period.</t>
  </si>
  <si>
    <t>COVID-19 Impact on Food, Healthcare &amp; Essential Services Inflation For Rural Sector</t>
  </si>
  <si>
    <t>COVID-19 Impact on Food, Healthcare &amp; Essential Services Inflation For Urban Sector</t>
  </si>
  <si>
    <t>1. Food inflation increased sharply from 3.08% (2019) to 7.36% (2020) and peaked at 8.74% in 2021.</t>
  </si>
  <si>
    <t>2.Healthcare inflation rose from 4.17% (2020) to 8.21% (2021), showing a strong increase after the COVID onset.</t>
  </si>
  <si>
    <t xml:space="preserve">  3.Essential Services inflation increased from 4.63% (2020) to 6.99% (2021) and reached 7.09% in 2023.</t>
  </si>
  <si>
    <t>5.Overall, inflation increased noticeably around the COVID-19 period, especially for Food and Healthcare.</t>
  </si>
  <si>
    <t>4.Food inflation declined after 2021, reaching 4.88% in 2023.</t>
  </si>
  <si>
    <t xml:space="preserve">KEY INSIGHITS </t>
  </si>
  <si>
    <t>COVID-19 Impact on Food, Healthcare &amp; Essential Services Inflation For Rural+Urban Sector</t>
  </si>
  <si>
    <t>1.Food inflation rose sharply from 0.39% (2019) to 7.52% (2020).</t>
  </si>
  <si>
    <t>2.Food inflation remained high in 2021 (7.60%) and 2022 (7.10%), then fell to 4.35% in 2023.</t>
  </si>
  <si>
    <t>3.Food inflation remained high in 2021 (7.60%) and 2022 (7.10%), then fell to 4.35% in 2023.</t>
  </si>
  <si>
    <t>4.Healthcare inflation increased after 2020, reaching 6.99% in 2022 and 6.59% in 2023.</t>
  </si>
  <si>
    <t>5.Essential Services inflation fell from 4.30% (2019) to 3.71% (2020), then increased to 7.15% in 2022.</t>
  </si>
  <si>
    <t>6.Overall, the three categories showed noticeable changes around the COVID-19 period, with Food showing a sharp rise in 2020 and Healthcare showing a decline followed by recovery.</t>
  </si>
  <si>
    <t>Correl Value Index</t>
  </si>
  <si>
    <t>Crude Oil MOM%</t>
  </si>
  <si>
    <t>Correlation Between Crude Oil Price Changes and CPI Categories for Rural Sector</t>
  </si>
  <si>
    <t>Correlation Between Crude Oil Price Changes and CPI Categories for Urban Sector</t>
  </si>
  <si>
    <t>Correlation Between Crude Oil Price Changes and CPI Categories for Rural+Urban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</si>
</sst>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i/>
      <sz val="12"/>
      <color theme="1"/>
      <name val="Aptos Narrow"/>
      <family val="2"/>
      <scheme val="minor"/>
    </font>
    <font>
      <b/>
      <u/>
      <sz val="11"/>
      <color theme="1"/>
      <name val="Aptos Narrow"/>
      <family val="2"/>
      <scheme val="minor"/>
    </font>
    <font>
      <b/>
      <sz val="14"/>
      <color theme="0"/>
      <name val="Aptos Narrow"/>
      <family val="2"/>
      <scheme val="minor"/>
    </font>
    <font>
      <b/>
      <sz val="22"/>
      <color theme="1"/>
      <name val="Aptos Narrow"/>
      <family val="2"/>
      <scheme val="minor"/>
    </font>
    <font>
      <b/>
      <sz val="12"/>
      <color theme="1"/>
      <name val="Aptos Narrow"/>
      <family val="2"/>
      <scheme val="minor"/>
    </font>
    <font>
      <b/>
      <sz val="14"/>
      <color theme="1"/>
      <name val="Aptos Narrow"/>
      <family val="2"/>
      <scheme val="minor"/>
    </font>
    <font>
      <b/>
      <sz val="26"/>
      <color theme="1"/>
      <name val="Aptos Narrow"/>
      <family val="2"/>
      <scheme val="minor"/>
    </font>
    <font>
      <b/>
      <sz val="26"/>
      <color theme="0"/>
      <name val="Aptos Narrow"/>
      <family val="2"/>
      <scheme val="minor"/>
    </font>
    <font>
      <sz val="8"/>
      <color rgb="FF0D0D0D"/>
      <name val="Segoe UI Variable Text"/>
    </font>
    <font>
      <b/>
      <u val="double"/>
      <sz val="18"/>
      <color theme="1"/>
      <name val="Aptos Narrow"/>
      <family val="2"/>
      <scheme val="minor"/>
    </font>
    <font>
      <b/>
      <u val="double"/>
      <sz val="20"/>
      <color theme="1"/>
      <name val="Aptos Narrow"/>
      <family val="2"/>
      <scheme val="minor"/>
    </font>
    <font>
      <b/>
      <sz val="22"/>
      <color theme="0"/>
      <name val="Aptos Narrow"/>
      <family val="2"/>
      <scheme val="minor"/>
    </font>
    <font>
      <b/>
      <sz val="18"/>
      <color theme="0"/>
      <name val="Aptos Narrow"/>
      <family val="2"/>
      <scheme val="minor"/>
    </font>
    <font>
      <b/>
      <u val="double"/>
      <sz val="22"/>
      <color theme="1"/>
      <name val="Aptos Narrow"/>
      <family val="2"/>
      <scheme val="minor"/>
    </font>
    <font>
      <b/>
      <sz val="20"/>
      <color theme="0"/>
      <name val="Aptos Narrow"/>
      <family val="2"/>
      <scheme val="minor"/>
    </font>
    <font>
      <b/>
      <u val="double"/>
      <sz val="24"/>
      <color theme="1"/>
      <name val="Aptos Narrow"/>
      <family val="2"/>
      <scheme val="minor"/>
    </font>
    <font>
      <sz val="18"/>
      <color theme="0"/>
      <name val="Aptos Narrow"/>
      <family val="2"/>
      <scheme val="minor"/>
    </font>
    <font>
      <b/>
      <u/>
      <sz val="10"/>
      <color theme="1"/>
      <name val="Aptos Narrow"/>
      <family val="2"/>
      <scheme val="minor"/>
    </font>
    <font>
      <sz val="8"/>
      <name val="Aptos Narrow"/>
      <family val="2"/>
      <scheme val="minor"/>
    </font>
    <font>
      <sz val="10"/>
      <color theme="1"/>
      <name val="Arial"/>
      <family val="2"/>
    </font>
    <font>
      <b/>
      <sz val="36"/>
      <color theme="0"/>
      <name val="Aptos Narrow"/>
      <family val="2"/>
      <scheme val="minor"/>
    </font>
    <font>
      <b/>
      <sz val="10"/>
      <color theme="1"/>
      <name val="Aptos Narrow"/>
      <family val="2"/>
      <scheme val="minor"/>
    </font>
    <font>
      <b/>
      <sz val="28"/>
      <color theme="0"/>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7"/>
        <bgColor indexed="64"/>
      </patternFill>
    </fill>
    <fill>
      <patternFill patternType="solid">
        <fgColor theme="0"/>
        <bgColor indexed="64"/>
      </patternFill>
    </fill>
    <fill>
      <patternFill patternType="solid">
        <fgColor rgb="FF0000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1"/>
        <bgColor indexed="64"/>
      </patternFill>
    </fill>
    <fill>
      <patternFill patternType="solid">
        <fgColor theme="7" tint="0.79998168889431442"/>
        <bgColor indexed="64"/>
      </patternFill>
    </fill>
  </fills>
  <borders count="4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7" tint="-0.499984740745262"/>
      </left>
      <right style="thin">
        <color theme="7" tint="-0.499984740745262"/>
      </right>
      <top style="thin">
        <color theme="7" tint="-0.499984740745262"/>
      </top>
      <bottom style="thin">
        <color theme="7" tint="-0.499984740745262"/>
      </bottom>
      <diagonal/>
    </border>
    <border>
      <left style="thin">
        <color theme="1"/>
      </left>
      <right style="thin">
        <color theme="1"/>
      </right>
      <top style="thin">
        <color theme="1"/>
      </top>
      <bottom style="thin">
        <color theme="1"/>
      </bottom>
      <diagonal/>
    </border>
    <border>
      <left style="thin">
        <color theme="7" tint="-0.499984740745262"/>
      </left>
      <right style="thin">
        <color theme="7" tint="-0.499984740745262"/>
      </right>
      <top style="thin">
        <color theme="7" tint="-0.499984740745262"/>
      </top>
      <bottom/>
      <diagonal/>
    </border>
    <border>
      <left style="thin">
        <color theme="1"/>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8">
    <xf numFmtId="0" fontId="0" fillId="0" borderId="0" xfId="0"/>
    <xf numFmtId="0" fontId="0" fillId="0" borderId="0" xfId="0" applyAlignment="1">
      <alignment wrapText="1"/>
    </xf>
    <xf numFmtId="0" fontId="18" fillId="0" borderId="0" xfId="0" applyFont="1"/>
    <xf numFmtId="0" fontId="18" fillId="0" borderId="0" xfId="0" applyFont="1" applyAlignment="1">
      <alignment horizontal="center"/>
    </xf>
    <xf numFmtId="2" fontId="0" fillId="0" borderId="0" xfId="0" applyNumberFormat="1"/>
    <xf numFmtId="0" fontId="19" fillId="0" borderId="0" xfId="0" applyFont="1" applyAlignment="1">
      <alignment wrapText="1"/>
    </xf>
    <xf numFmtId="0" fontId="22" fillId="0" borderId="0" xfId="0" applyFont="1" applyAlignment="1">
      <alignment horizontal="center" vertical="center"/>
    </xf>
    <xf numFmtId="0" fontId="25" fillId="0" borderId="0" xfId="0" applyFont="1" applyAlignment="1">
      <alignment vertical="center"/>
    </xf>
    <xf numFmtId="0" fontId="21" fillId="34" borderId="11" xfId="0" applyFont="1" applyFill="1" applyBorder="1" applyAlignment="1">
      <alignment horizontal="center" vertical="center"/>
    </xf>
    <xf numFmtId="0" fontId="16" fillId="33" borderId="11" xfId="0" applyFont="1" applyFill="1" applyBorder="1"/>
    <xf numFmtId="0" fontId="16" fillId="0" borderId="11" xfId="0" applyFont="1" applyBorder="1"/>
    <xf numFmtId="0" fontId="16" fillId="35" borderId="11" xfId="0" applyFont="1" applyFill="1" applyBorder="1"/>
    <xf numFmtId="0" fontId="0" fillId="0" borderId="11" xfId="0" applyBorder="1"/>
    <xf numFmtId="0" fontId="0" fillId="0" borderId="0" xfId="0" applyAlignment="1">
      <alignment vertical="center"/>
    </xf>
    <xf numFmtId="0" fontId="27" fillId="0" borderId="0" xfId="0" applyFont="1"/>
    <xf numFmtId="0" fontId="20" fillId="0" borderId="22" xfId="0" applyFont="1" applyBorder="1"/>
    <xf numFmtId="0" fontId="20" fillId="0" borderId="23" xfId="0" applyFont="1" applyBorder="1"/>
    <xf numFmtId="0" fontId="0" fillId="38" borderId="26" xfId="0" applyFill="1" applyBorder="1"/>
    <xf numFmtId="0" fontId="0" fillId="38" borderId="27" xfId="0" applyFill="1" applyBorder="1"/>
    <xf numFmtId="0" fontId="0" fillId="0" borderId="26" xfId="0" applyBorder="1"/>
    <xf numFmtId="0" fontId="0" fillId="0" borderId="27" xfId="0" applyBorder="1"/>
    <xf numFmtId="164" fontId="0" fillId="0" borderId="0" xfId="0" applyNumberFormat="1"/>
    <xf numFmtId="2" fontId="0" fillId="38" borderId="26" xfId="0" applyNumberFormat="1" applyFill="1" applyBorder="1"/>
    <xf numFmtId="2" fontId="0" fillId="0" borderId="26" xfId="0" applyNumberFormat="1" applyBorder="1"/>
    <xf numFmtId="164" fontId="0" fillId="38" borderId="26" xfId="0" applyNumberFormat="1" applyFill="1" applyBorder="1"/>
    <xf numFmtId="164" fontId="0" fillId="0" borderId="26" xfId="0" applyNumberFormat="1" applyBorder="1"/>
    <xf numFmtId="0" fontId="13" fillId="37" borderId="28" xfId="0" applyFont="1" applyFill="1" applyBorder="1"/>
    <xf numFmtId="0" fontId="13" fillId="37" borderId="29" xfId="0" applyFont="1" applyFill="1" applyBorder="1"/>
    <xf numFmtId="0" fontId="0" fillId="0" borderId="30" xfId="0" applyBorder="1"/>
    <xf numFmtId="0" fontId="0" fillId="0" borderId="31" xfId="0" applyBorder="1"/>
    <xf numFmtId="164" fontId="0" fillId="0" borderId="31" xfId="0" applyNumberFormat="1" applyBorder="1"/>
    <xf numFmtId="2" fontId="0" fillId="0" borderId="31" xfId="0" applyNumberFormat="1" applyBorder="1"/>
    <xf numFmtId="0" fontId="16" fillId="0" borderId="0" xfId="0" applyFont="1"/>
    <xf numFmtId="0" fontId="0" fillId="0" borderId="0" xfId="0" applyAlignment="1">
      <alignment horizontal="right"/>
    </xf>
    <xf numFmtId="10" fontId="0" fillId="0" borderId="0" xfId="0" applyNumberFormat="1"/>
    <xf numFmtId="0" fontId="16" fillId="0" borderId="0" xfId="0" applyFont="1" applyAlignment="1">
      <alignment horizontal="center" vertical="center"/>
    </xf>
    <xf numFmtId="0" fontId="20" fillId="0" borderId="40" xfId="0" applyFont="1" applyBorder="1"/>
    <xf numFmtId="0" fontId="20" fillId="0" borderId="41" xfId="0" applyFont="1" applyBorder="1"/>
    <xf numFmtId="0" fontId="20" fillId="0" borderId="42" xfId="0" applyFont="1" applyBorder="1"/>
    <xf numFmtId="0" fontId="16" fillId="0" borderId="34" xfId="0" applyFont="1" applyBorder="1"/>
    <xf numFmtId="0" fontId="16" fillId="0" borderId="35" xfId="0" applyFont="1" applyBorder="1"/>
    <xf numFmtId="0" fontId="16" fillId="0" borderId="39" xfId="0" applyFont="1" applyBorder="1"/>
    <xf numFmtId="0" fontId="16" fillId="0" borderId="32" xfId="0" applyFont="1" applyBorder="1"/>
    <xf numFmtId="0" fontId="16" fillId="0" borderId="37" xfId="0" applyFont="1" applyBorder="1"/>
    <xf numFmtId="0" fontId="38" fillId="0" borderId="0" xfId="0" applyFont="1" applyAlignment="1">
      <alignment vertical="center"/>
    </xf>
    <xf numFmtId="0" fontId="0" fillId="34" borderId="0" xfId="0" applyFill="1"/>
    <xf numFmtId="0" fontId="0" fillId="40" borderId="0" xfId="0" applyFill="1" applyAlignment="1">
      <alignment horizontal="center" vertical="center"/>
    </xf>
    <xf numFmtId="0" fontId="0" fillId="40" borderId="0" xfId="0" applyFill="1"/>
    <xf numFmtId="10" fontId="0" fillId="40" borderId="0" xfId="0" applyNumberFormat="1" applyFill="1"/>
    <xf numFmtId="0" fontId="40" fillId="34" borderId="0" xfId="0" applyFont="1" applyFill="1" applyAlignment="1">
      <alignment horizontal="center"/>
    </xf>
    <xf numFmtId="0" fontId="39" fillId="39" borderId="0" xfId="0" applyFont="1" applyFill="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29" fillId="0" borderId="16" xfId="0" applyFont="1" applyBorder="1" applyAlignment="1">
      <alignment horizontal="center" vertical="center"/>
    </xf>
    <xf numFmtId="0" fontId="29" fillId="0" borderId="18"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0" fillId="0" borderId="13" xfId="0" applyFont="1" applyBorder="1" applyAlignment="1">
      <alignment horizontal="left"/>
    </xf>
    <xf numFmtId="0" fontId="20" fillId="0" borderId="0" xfId="0" applyFont="1" applyAlignment="1">
      <alignment horizontal="left"/>
    </xf>
    <xf numFmtId="0" fontId="20" fillId="0" borderId="17" xfId="0" applyFont="1" applyBorder="1" applyAlignment="1">
      <alignment horizontal="left"/>
    </xf>
    <xf numFmtId="0" fontId="20" fillId="0" borderId="13" xfId="0" applyFont="1" applyBorder="1" applyAlignment="1">
      <alignment horizontal="left" vertical="center"/>
    </xf>
    <xf numFmtId="0" fontId="20" fillId="0" borderId="0" xfId="0" applyFont="1" applyAlignment="1">
      <alignment horizontal="left" vertical="center"/>
    </xf>
    <xf numFmtId="0" fontId="20" fillId="0" borderId="17" xfId="0" applyFont="1" applyBorder="1" applyAlignment="1">
      <alignment horizontal="left" vertical="center"/>
    </xf>
    <xf numFmtId="0" fontId="20" fillId="0" borderId="18" xfId="0" applyFont="1" applyBorder="1" applyAlignment="1">
      <alignment horizontal="left" vertical="center"/>
    </xf>
    <xf numFmtId="0" fontId="20" fillId="0" borderId="19" xfId="0" applyFont="1" applyBorder="1" applyAlignment="1">
      <alignment horizontal="left" vertical="center"/>
    </xf>
    <xf numFmtId="0" fontId="20" fillId="0" borderId="20" xfId="0" applyFont="1" applyBorder="1" applyAlignment="1">
      <alignment horizontal="left" vertical="center"/>
    </xf>
    <xf numFmtId="0" fontId="21" fillId="34" borderId="11" xfId="0" applyFont="1" applyFill="1" applyBorder="1" applyAlignment="1">
      <alignment horizontal="center" vertical="center"/>
    </xf>
    <xf numFmtId="0" fontId="26" fillId="36" borderId="10" xfId="0" applyFont="1" applyFill="1" applyBorder="1" applyAlignment="1">
      <alignment horizontal="center" vertical="center"/>
    </xf>
    <xf numFmtId="0" fontId="26" fillId="36" borderId="12" xfId="0" applyFont="1" applyFill="1" applyBorder="1" applyAlignment="1">
      <alignment horizontal="center" vertical="center"/>
    </xf>
    <xf numFmtId="2" fontId="16" fillId="0" borderId="11" xfId="0" applyNumberFormat="1" applyFont="1" applyBorder="1" applyAlignment="1">
      <alignment horizontal="center"/>
    </xf>
    <xf numFmtId="2" fontId="16" fillId="33" borderId="11" xfId="0" applyNumberFormat="1" applyFont="1" applyFill="1" applyBorder="1" applyAlignment="1">
      <alignment horizontal="center"/>
    </xf>
    <xf numFmtId="0" fontId="24" fillId="33" borderId="11" xfId="0" applyFont="1" applyFill="1" applyBorder="1" applyAlignment="1">
      <alignment horizontal="center" vertical="center"/>
    </xf>
    <xf numFmtId="0" fontId="16" fillId="0" borderId="11" xfId="0" applyFont="1" applyBorder="1" applyAlignment="1">
      <alignment horizontal="center" vertical="center"/>
    </xf>
    <xf numFmtId="0" fontId="23" fillId="33" borderId="11" xfId="0" applyFont="1" applyFill="1" applyBorder="1" applyAlignment="1">
      <alignment horizontal="center" vertical="center"/>
    </xf>
    <xf numFmtId="0" fontId="16" fillId="35" borderId="11" xfId="0" applyFont="1" applyFill="1" applyBorder="1" applyAlignment="1">
      <alignment horizontal="center"/>
    </xf>
    <xf numFmtId="0" fontId="16" fillId="33" borderId="11" xfId="0" applyFont="1" applyFill="1" applyBorder="1" applyAlignment="1">
      <alignment horizontal="center"/>
    </xf>
    <xf numFmtId="2" fontId="24" fillId="33" borderId="11" xfId="0" applyNumberFormat="1" applyFont="1" applyFill="1" applyBorder="1" applyAlignment="1">
      <alignment horizontal="center" vertical="center"/>
    </xf>
    <xf numFmtId="2" fontId="16" fillId="33" borderId="11" xfId="0" applyNumberFormat="1" applyFont="1" applyFill="1" applyBorder="1" applyAlignment="1">
      <alignment horizontal="center" vertical="center"/>
    </xf>
    <xf numFmtId="0" fontId="16" fillId="33" borderId="11" xfId="0" applyFont="1" applyFill="1" applyBorder="1" applyAlignment="1">
      <alignment horizontal="center" vertical="center"/>
    </xf>
    <xf numFmtId="0" fontId="16" fillId="0" borderId="11" xfId="0" applyFont="1" applyBorder="1" applyAlignment="1">
      <alignment horizontal="center"/>
    </xf>
    <xf numFmtId="2" fontId="16" fillId="0" borderId="11" xfId="0" applyNumberFormat="1" applyFont="1" applyBorder="1" applyAlignment="1">
      <alignment horizontal="center" vertical="center"/>
    </xf>
    <xf numFmtId="2" fontId="23" fillId="33" borderId="11" xfId="0" applyNumberFormat="1" applyFont="1" applyFill="1" applyBorder="1" applyAlignment="1">
      <alignment horizontal="center" vertical="center"/>
    </xf>
    <xf numFmtId="2" fontId="16" fillId="35" borderId="11" xfId="0" applyNumberFormat="1" applyFont="1" applyFill="1" applyBorder="1" applyAlignment="1">
      <alignment horizontal="center"/>
    </xf>
    <xf numFmtId="0" fontId="24" fillId="33" borderId="14" xfId="0" applyFont="1" applyFill="1" applyBorder="1" applyAlignment="1">
      <alignment horizontal="center" vertical="center"/>
    </xf>
    <xf numFmtId="0" fontId="24" fillId="33" borderId="16" xfId="0" applyFont="1" applyFill="1" applyBorder="1" applyAlignment="1">
      <alignment horizontal="center" vertical="center"/>
    </xf>
    <xf numFmtId="0" fontId="24" fillId="33" borderId="13" xfId="0" applyFont="1" applyFill="1" applyBorder="1" applyAlignment="1">
      <alignment horizontal="center" vertical="center"/>
    </xf>
    <xf numFmtId="0" fontId="24" fillId="33" borderId="17" xfId="0" applyFont="1" applyFill="1" applyBorder="1" applyAlignment="1">
      <alignment horizontal="center" vertical="center"/>
    </xf>
    <xf numFmtId="0" fontId="24" fillId="33" borderId="18" xfId="0" applyFont="1" applyFill="1" applyBorder="1" applyAlignment="1">
      <alignment horizontal="center" vertical="center"/>
    </xf>
    <xf numFmtId="0" fontId="24" fillId="33" borderId="20" xfId="0" applyFont="1" applyFill="1" applyBorder="1" applyAlignment="1">
      <alignment horizontal="center" vertical="center"/>
    </xf>
    <xf numFmtId="0" fontId="16" fillId="35" borderId="24" xfId="0" applyFont="1" applyFill="1" applyBorder="1" applyAlignment="1">
      <alignment horizontal="center"/>
    </xf>
    <xf numFmtId="0" fontId="16" fillId="35" borderId="25" xfId="0" applyFont="1" applyFill="1" applyBorder="1" applyAlignment="1">
      <alignment horizontal="center"/>
    </xf>
    <xf numFmtId="2" fontId="16" fillId="35" borderId="24" xfId="0" applyNumberFormat="1" applyFont="1" applyFill="1" applyBorder="1" applyAlignment="1">
      <alignment horizontal="center"/>
    </xf>
    <xf numFmtId="2" fontId="16" fillId="35" borderId="25" xfId="0" applyNumberFormat="1" applyFont="1" applyFill="1" applyBorder="1" applyAlignment="1">
      <alignment horizontal="center"/>
    </xf>
    <xf numFmtId="0" fontId="16" fillId="33" borderId="24" xfId="0" applyFont="1" applyFill="1" applyBorder="1" applyAlignment="1">
      <alignment horizontal="center"/>
    </xf>
    <xf numFmtId="0" fontId="16" fillId="33" borderId="25" xfId="0" applyFont="1" applyFill="1" applyBorder="1" applyAlignment="1">
      <alignment horizontal="center"/>
    </xf>
    <xf numFmtId="2" fontId="16" fillId="33" borderId="24" xfId="0" applyNumberFormat="1" applyFont="1" applyFill="1" applyBorder="1" applyAlignment="1">
      <alignment horizontal="center"/>
    </xf>
    <xf numFmtId="2" fontId="16" fillId="33" borderId="25" xfId="0" applyNumberFormat="1" applyFont="1" applyFill="1" applyBorder="1" applyAlignment="1">
      <alignment horizont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23" fillId="33" borderId="14" xfId="0" applyFont="1" applyFill="1" applyBorder="1" applyAlignment="1">
      <alignment horizontal="center" vertical="center"/>
    </xf>
    <xf numFmtId="0" fontId="23" fillId="33" borderId="16" xfId="0" applyFont="1" applyFill="1" applyBorder="1" applyAlignment="1">
      <alignment horizontal="center" vertical="center"/>
    </xf>
    <xf numFmtId="0" fontId="23" fillId="33" borderId="13" xfId="0" applyFont="1" applyFill="1" applyBorder="1" applyAlignment="1">
      <alignment horizontal="center" vertical="center"/>
    </xf>
    <xf numFmtId="0" fontId="23" fillId="33" borderId="17" xfId="0" applyFont="1" applyFill="1" applyBorder="1" applyAlignment="1">
      <alignment horizontal="center" vertical="center"/>
    </xf>
    <xf numFmtId="0" fontId="23" fillId="33" borderId="18" xfId="0" applyFont="1" applyFill="1" applyBorder="1" applyAlignment="1">
      <alignment horizontal="center" vertical="center"/>
    </xf>
    <xf numFmtId="0" fontId="23" fillId="33" borderId="20" xfId="0" applyFont="1" applyFill="1" applyBorder="1" applyAlignment="1">
      <alignment horizontal="center" vertical="center"/>
    </xf>
    <xf numFmtId="0" fontId="16" fillId="0" borderId="24" xfId="0" applyFont="1" applyBorder="1" applyAlignment="1">
      <alignment horizontal="center"/>
    </xf>
    <xf numFmtId="0" fontId="16" fillId="0" borderId="25" xfId="0" applyFont="1" applyBorder="1" applyAlignment="1">
      <alignment horizontal="center"/>
    </xf>
    <xf numFmtId="0" fontId="16" fillId="33" borderId="14" xfId="0" applyFont="1" applyFill="1" applyBorder="1" applyAlignment="1">
      <alignment horizontal="center" vertical="center"/>
    </xf>
    <xf numFmtId="0" fontId="16" fillId="33" borderId="16" xfId="0" applyFont="1" applyFill="1" applyBorder="1" applyAlignment="1">
      <alignment horizontal="center" vertical="center"/>
    </xf>
    <xf numFmtId="0" fontId="16" fillId="33" borderId="18" xfId="0" applyFont="1" applyFill="1" applyBorder="1" applyAlignment="1">
      <alignment horizontal="center" vertical="center"/>
    </xf>
    <xf numFmtId="0" fontId="16" fillId="33" borderId="20" xfId="0" applyFont="1" applyFill="1" applyBorder="1" applyAlignment="1">
      <alignment horizontal="center" vertical="center"/>
    </xf>
    <xf numFmtId="0" fontId="30" fillId="36" borderId="10" xfId="0" applyFont="1" applyFill="1" applyBorder="1" applyAlignment="1">
      <alignment horizontal="center" vertical="center"/>
    </xf>
    <xf numFmtId="0" fontId="30" fillId="36" borderId="12" xfId="0" applyFont="1" applyFill="1" applyBorder="1" applyAlignment="1">
      <alignment horizontal="center" vertical="center"/>
    </xf>
    <xf numFmtId="0" fontId="31" fillId="36" borderId="0" xfId="0" applyFont="1" applyFill="1" applyAlignment="1">
      <alignment horizontal="center" vertical="center" wrapText="1"/>
    </xf>
    <xf numFmtId="0" fontId="28" fillId="0" borderId="21" xfId="0" applyFont="1" applyBorder="1" applyAlignment="1">
      <alignment horizontal="center" vertical="center" wrapText="1"/>
    </xf>
    <xf numFmtId="0" fontId="28" fillId="0" borderId="23" xfId="0" applyFont="1" applyBorder="1" applyAlignment="1">
      <alignment horizontal="center" vertical="center" wrapText="1"/>
    </xf>
    <xf numFmtId="0" fontId="21" fillId="36" borderId="0" xfId="0" applyFont="1" applyFill="1" applyAlignment="1">
      <alignment horizontal="center" vertical="center"/>
    </xf>
    <xf numFmtId="0" fontId="29" fillId="0" borderId="33" xfId="0"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0" fontId="29" fillId="0" borderId="36" xfId="0" applyFont="1" applyBorder="1" applyAlignment="1">
      <alignment horizontal="center" vertical="center"/>
    </xf>
    <xf numFmtId="0" fontId="29" fillId="0" borderId="32" xfId="0" applyFont="1" applyBorder="1" applyAlignment="1">
      <alignment horizontal="center" vertical="center"/>
    </xf>
    <xf numFmtId="0" fontId="29" fillId="0" borderId="37" xfId="0" applyFont="1" applyBorder="1" applyAlignment="1">
      <alignment horizontal="center" vertical="center"/>
    </xf>
    <xf numFmtId="0" fontId="20" fillId="0" borderId="33" xfId="0" applyFont="1" applyBorder="1" applyAlignment="1">
      <alignment horizontal="left" vertical="center"/>
    </xf>
    <xf numFmtId="0" fontId="20" fillId="0" borderId="34" xfId="0" applyFont="1" applyBorder="1" applyAlignment="1">
      <alignment horizontal="left" vertical="center"/>
    </xf>
    <xf numFmtId="0" fontId="20" fillId="0" borderId="35" xfId="0" applyFont="1" applyBorder="1" applyAlignment="1">
      <alignment horizontal="left" vertical="center"/>
    </xf>
    <xf numFmtId="0" fontId="20" fillId="0" borderId="38" xfId="0" applyFont="1" applyBorder="1" applyAlignment="1">
      <alignment horizontal="left" vertical="center"/>
    </xf>
    <xf numFmtId="0" fontId="20" fillId="0" borderId="39" xfId="0" applyFont="1" applyBorder="1" applyAlignment="1">
      <alignment horizontal="left" vertical="center"/>
    </xf>
    <xf numFmtId="0" fontId="20" fillId="0" borderId="36" xfId="0" applyFont="1" applyBorder="1" applyAlignment="1">
      <alignment horizontal="left" vertical="center"/>
    </xf>
    <xf numFmtId="0" fontId="20" fillId="0" borderId="32" xfId="0" applyFont="1" applyBorder="1" applyAlignment="1">
      <alignment horizontal="left" vertical="center"/>
    </xf>
    <xf numFmtId="0" fontId="20" fillId="0" borderId="37" xfId="0" applyFont="1" applyBorder="1" applyAlignment="1">
      <alignment horizontal="left" vertical="center"/>
    </xf>
    <xf numFmtId="0" fontId="20" fillId="0" borderId="38" xfId="0" applyFont="1" applyBorder="1" applyAlignment="1">
      <alignment horizontal="center" vertical="center" wrapText="1"/>
    </xf>
    <xf numFmtId="0" fontId="20" fillId="0" borderId="0" xfId="0" applyFont="1" applyAlignment="1">
      <alignment horizontal="center" vertical="center" wrapText="1"/>
    </xf>
    <xf numFmtId="0" fontId="20" fillId="0" borderId="39" xfId="0" applyFont="1" applyBorder="1" applyAlignment="1">
      <alignment horizontal="center" vertical="center" wrapText="1"/>
    </xf>
    <xf numFmtId="0" fontId="36" fillId="0" borderId="38" xfId="0" applyFont="1" applyBorder="1" applyAlignment="1">
      <alignment horizontal="center" wrapText="1"/>
    </xf>
    <xf numFmtId="0" fontId="36" fillId="0" borderId="0" xfId="0" applyFont="1" applyAlignment="1">
      <alignment horizontal="center" wrapText="1"/>
    </xf>
    <xf numFmtId="0" fontId="36" fillId="0" borderId="39" xfId="0" applyFont="1" applyBorder="1" applyAlignment="1">
      <alignment horizontal="center" wrapText="1"/>
    </xf>
    <xf numFmtId="0" fontId="36" fillId="0" borderId="36" xfId="0" applyFont="1" applyBorder="1" applyAlignment="1">
      <alignment horizontal="center" wrapText="1"/>
    </xf>
    <xf numFmtId="0" fontId="36" fillId="0" borderId="32" xfId="0" applyFont="1" applyBorder="1" applyAlignment="1">
      <alignment horizontal="center" wrapText="1"/>
    </xf>
    <xf numFmtId="0" fontId="36" fillId="0" borderId="37" xfId="0" applyFont="1" applyBorder="1" applyAlignment="1">
      <alignment horizontal="center" wrapText="1"/>
    </xf>
    <xf numFmtId="0" fontId="31" fillId="39" borderId="0" xfId="0" applyFont="1" applyFill="1" applyAlignment="1">
      <alignment horizontal="center" vertical="center"/>
    </xf>
    <xf numFmtId="0" fontId="35" fillId="39" borderId="0" xfId="0" applyFont="1" applyFill="1" applyAlignment="1">
      <alignment horizontal="center" vertical="center"/>
    </xf>
    <xf numFmtId="0" fontId="34" fillId="0" borderId="33" xfId="0" applyFont="1" applyBorder="1" applyAlignment="1">
      <alignment horizontal="center" vertical="center"/>
    </xf>
    <xf numFmtId="0" fontId="34" fillId="0" borderId="34" xfId="0" applyFont="1" applyBorder="1" applyAlignment="1">
      <alignment horizontal="center" vertical="center"/>
    </xf>
    <xf numFmtId="0" fontId="34" fillId="0" borderId="35" xfId="0" applyFont="1" applyBorder="1" applyAlignment="1">
      <alignment horizontal="center" vertical="center"/>
    </xf>
    <xf numFmtId="0" fontId="34" fillId="0" borderId="38" xfId="0" applyFont="1" applyBorder="1" applyAlignment="1">
      <alignment horizontal="center" vertical="center"/>
    </xf>
    <xf numFmtId="0" fontId="34" fillId="0" borderId="0" xfId="0" applyFont="1" applyAlignment="1">
      <alignment horizontal="center" vertical="center"/>
    </xf>
    <xf numFmtId="0" fontId="34" fillId="0" borderId="39" xfId="0" applyFont="1" applyBorder="1" applyAlignment="1">
      <alignment horizontal="center" vertical="center"/>
    </xf>
    <xf numFmtId="0" fontId="20" fillId="0" borderId="33" xfId="0" applyFont="1" applyBorder="1" applyAlignment="1">
      <alignment horizontal="center" vertical="center" wrapText="1"/>
    </xf>
    <xf numFmtId="0" fontId="20" fillId="0" borderId="34" xfId="0" applyFont="1" applyBorder="1" applyAlignment="1">
      <alignment horizontal="center" vertical="center" wrapText="1"/>
    </xf>
    <xf numFmtId="0" fontId="20" fillId="0" borderId="35" xfId="0" applyFont="1" applyBorder="1" applyAlignment="1">
      <alignment horizontal="center" vertical="center" wrapText="1"/>
    </xf>
    <xf numFmtId="0" fontId="20" fillId="0" borderId="36"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7" xfId="0" applyFont="1" applyBorder="1" applyAlignment="1">
      <alignment horizontal="center" vertical="center" wrapText="1"/>
    </xf>
    <xf numFmtId="0" fontId="34" fillId="0" borderId="36" xfId="0" applyFont="1" applyBorder="1" applyAlignment="1">
      <alignment horizontal="center" vertical="center"/>
    </xf>
    <xf numFmtId="0" fontId="34" fillId="0" borderId="32" xfId="0" applyFont="1" applyBorder="1" applyAlignment="1">
      <alignment horizontal="center" vertical="center"/>
    </xf>
    <xf numFmtId="0" fontId="34" fillId="0" borderId="37" xfId="0" applyFont="1" applyBorder="1" applyAlignment="1">
      <alignment horizontal="center" vertical="center"/>
    </xf>
    <xf numFmtId="0" fontId="33" fillId="39" borderId="0" xfId="0" applyFont="1" applyFill="1" applyAlignment="1">
      <alignment horizontal="center" vertical="center"/>
    </xf>
    <xf numFmtId="0" fontId="17" fillId="39" borderId="0" xfId="0" applyFont="1" applyFill="1" applyAlignment="1">
      <alignment horizontal="center" vertical="center"/>
    </xf>
    <xf numFmtId="0" fontId="32" fillId="0" borderId="33" xfId="0" applyFont="1" applyBorder="1" applyAlignment="1">
      <alignment horizontal="center" vertical="center"/>
    </xf>
    <xf numFmtId="0" fontId="32" fillId="0" borderId="34" xfId="0" applyFont="1" applyBorder="1" applyAlignment="1">
      <alignment horizontal="center" vertical="center"/>
    </xf>
    <xf numFmtId="0" fontId="32" fillId="0" borderId="35" xfId="0" applyFont="1" applyBorder="1" applyAlignment="1">
      <alignment horizontal="center" vertical="center"/>
    </xf>
    <xf numFmtId="0" fontId="32" fillId="0" borderId="38" xfId="0" applyFont="1" applyBorder="1" applyAlignment="1">
      <alignment horizontal="center" vertical="center"/>
    </xf>
    <xf numFmtId="0" fontId="32" fillId="0" borderId="0" xfId="0" applyFont="1" applyAlignment="1">
      <alignment horizontal="center" vertical="center"/>
    </xf>
    <xf numFmtId="0" fontId="32" fillId="0" borderId="39" xfId="0" applyFont="1" applyBorder="1" applyAlignment="1">
      <alignment horizontal="center" vertical="center"/>
    </xf>
    <xf numFmtId="0" fontId="32" fillId="0" borderId="36" xfId="0" applyFont="1" applyBorder="1" applyAlignment="1">
      <alignment horizontal="center" vertical="center"/>
    </xf>
    <xf numFmtId="0" fontId="32" fillId="0" borderId="32" xfId="0" applyFont="1" applyBorder="1" applyAlignment="1">
      <alignment horizontal="center" vertical="center"/>
    </xf>
    <xf numFmtId="0" fontId="32" fillId="0" borderId="37" xfId="0" applyFont="1" applyBorder="1" applyAlignment="1">
      <alignment horizontal="center" vertical="center"/>
    </xf>
    <xf numFmtId="0" fontId="20" fillId="0" borderId="33" xfId="0" applyFont="1" applyBorder="1" applyAlignment="1">
      <alignment horizontal="center" wrapText="1"/>
    </xf>
    <xf numFmtId="0" fontId="20" fillId="0" borderId="34" xfId="0" applyFont="1" applyBorder="1" applyAlignment="1">
      <alignment horizontal="center" wrapText="1"/>
    </xf>
    <xf numFmtId="0" fontId="20" fillId="0" borderId="35" xfId="0" applyFont="1" applyBorder="1" applyAlignment="1">
      <alignment horizontal="center" wrapText="1"/>
    </xf>
    <xf numFmtId="0" fontId="20" fillId="0" borderId="38" xfId="0" applyFont="1" applyBorder="1" applyAlignment="1">
      <alignment horizontal="center" wrapText="1"/>
    </xf>
    <xf numFmtId="0" fontId="20" fillId="0" borderId="0" xfId="0" applyFont="1" applyAlignment="1">
      <alignment horizontal="center" wrapText="1"/>
    </xf>
    <xf numFmtId="0" fontId="20" fillId="0" borderId="39" xfId="0" applyFont="1" applyBorder="1" applyAlignment="1">
      <alignment horizontal="center" wrapText="1"/>
    </xf>
    <xf numFmtId="0" fontId="20" fillId="0" borderId="38" xfId="0" applyFont="1" applyBorder="1" applyAlignment="1">
      <alignment horizontal="center" vertical="center"/>
    </xf>
    <xf numFmtId="0" fontId="20" fillId="0" borderId="0" xfId="0" applyFont="1" applyAlignment="1">
      <alignment horizontal="center" vertical="center"/>
    </xf>
    <xf numFmtId="0" fontId="20" fillId="0" borderId="39" xfId="0" applyFont="1" applyBorder="1" applyAlignment="1">
      <alignment horizontal="center" vertical="center"/>
    </xf>
    <xf numFmtId="0" fontId="41" fillId="39"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14" formatCode="0.00%"/>
    </dxf>
    <dxf>
      <numFmt numFmtId="14" formatCode="0.00%"/>
    </dxf>
    <dxf>
      <numFmt numFmtId="14" formatCode="0.00%"/>
    </dxf>
    <dxf>
      <alignment horizontal="righ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numFmt numFmtId="14" formatCode="0.00%"/>
    </dxf>
    <dxf>
      <numFmt numFmtId="14" formatCode="0.00%"/>
    </dxf>
    <dxf>
      <numFmt numFmtId="14" formatCode="0.00%"/>
    </dxf>
    <dxf>
      <alignment horizontal="righ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numFmt numFmtId="14" formatCode="0.00%"/>
    </dxf>
    <dxf>
      <numFmt numFmtId="14" formatCode="0.00%"/>
    </dxf>
    <dxf>
      <numFmt numFmtId="14" formatCode="0.00%"/>
    </dxf>
    <dxf>
      <alignment horizontal="righ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numFmt numFmtId="2" formatCode="0.00"/>
      <border diagonalUp="0" diagonalDown="0">
        <left style="thin">
          <color theme="4" tint="0.39997558519241921"/>
        </left>
        <right/>
        <top style="thin">
          <color theme="4" tint="0.39997558519241921"/>
        </top>
        <bottom style="thin">
          <color theme="4" tint="0.39997558519241921"/>
        </bottom>
        <vertical/>
        <horizontal/>
      </border>
    </dxf>
    <dxf>
      <numFmt numFmtId="2" formatCode="0.00"/>
      <border diagonalUp="0" diagonalDown="0">
        <left style="thin">
          <color theme="4" tint="0.39997558519241921"/>
        </left>
        <right/>
        <top style="thin">
          <color theme="4" tint="0.39997558519241921"/>
        </top>
        <bottom style="thin">
          <color theme="4" tint="0.39997558519241921"/>
        </bottom>
        <vertical/>
        <horizontal/>
      </border>
    </dxf>
    <dxf>
      <numFmt numFmtId="164" formatCode="0.0"/>
      <border diagonalUp="0" diagonalDown="0">
        <left style="thin">
          <color theme="4" tint="0.39997558519241921"/>
        </left>
        <right/>
        <top style="thin">
          <color theme="4" tint="0.39997558519241921"/>
        </top>
        <bottom style="thin">
          <color theme="4" tint="0.39997558519241921"/>
        </bottom>
        <vertical/>
        <horizontal/>
      </border>
    </dxf>
    <dxf>
      <numFmt numFmtId="164" formatCode="0.0"/>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2" formatCode="0.00"/>
      <border diagonalUp="0" diagonalDown="0">
        <left style="thin">
          <color theme="4" tint="0.39997558519241921"/>
        </left>
        <right/>
        <top style="thin">
          <color theme="4" tint="0.39997558519241921"/>
        </top>
        <bottom style="thin">
          <color theme="4" tint="0.39997558519241921"/>
        </bottom>
        <vertical/>
        <horizontal/>
      </border>
    </dxf>
    <dxf>
      <numFmt numFmtId="2" formatCode="0.00"/>
      <border diagonalUp="0" diagonalDown="0">
        <left style="thin">
          <color theme="4" tint="0.39997558519241921"/>
        </left>
        <right/>
        <top style="thin">
          <color theme="4" tint="0.39997558519241921"/>
        </top>
        <bottom style="thin">
          <color theme="4" tint="0.39997558519241921"/>
        </bottom>
        <vertical/>
        <horizontal/>
      </border>
    </dxf>
    <dxf>
      <numFmt numFmtId="164" formatCode="0.0"/>
      <border diagonalUp="0" diagonalDown="0">
        <left style="thin">
          <color theme="4" tint="0.39997558519241921"/>
        </left>
        <right/>
        <top style="thin">
          <color theme="4" tint="0.39997558519241921"/>
        </top>
        <bottom style="thin">
          <color theme="4" tint="0.39997558519241921"/>
        </bottom>
        <vertical/>
        <horizontal/>
      </border>
    </dxf>
    <dxf>
      <numFmt numFmtId="164" formatCode="0.0"/>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2" formatCode="0.00"/>
      <border diagonalUp="0" diagonalDown="0">
        <left style="thin">
          <color theme="4" tint="0.39997558519241921"/>
        </left>
        <right/>
        <top style="thin">
          <color theme="4" tint="0.39997558519241921"/>
        </top>
        <bottom style="thin">
          <color theme="4" tint="0.39997558519241921"/>
        </bottom>
        <vertical/>
        <horizontal/>
      </border>
    </dxf>
    <dxf>
      <numFmt numFmtId="2" formatCode="0.00"/>
      <border diagonalUp="0" diagonalDown="0">
        <left style="thin">
          <color theme="4" tint="0.39997558519241921"/>
        </left>
        <right/>
        <top style="thin">
          <color theme="4" tint="0.39997558519241921"/>
        </top>
        <bottom style="thin">
          <color theme="4" tint="0.39997558519241921"/>
        </bottom>
        <vertical/>
        <horizontal/>
      </border>
    </dxf>
    <dxf>
      <numFmt numFmtId="164" formatCode="0.0"/>
      <border diagonalUp="0" diagonalDown="0">
        <left style="thin">
          <color theme="4" tint="0.39997558519241921"/>
        </left>
        <right/>
        <top style="thin">
          <color theme="4" tint="0.39997558519241921"/>
        </top>
        <bottom style="thin">
          <color theme="4" tint="0.39997558519241921"/>
        </bottom>
        <vertical/>
        <horizontal/>
      </border>
    </dxf>
    <dxf>
      <numFmt numFmtId="164" formatCode="0.0"/>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2" formatCode="0.00"/>
    </dxf>
  </dxfs>
  <tableStyles count="0" defaultTableStyle="TableStyleMedium2" defaultPivotStyle="PivotStyleLight16"/>
  <colors>
    <mruColors>
      <color rgb="FF000000"/>
      <color rgb="FFFFFFFF"/>
      <color rgb="FF33CCFF"/>
      <color rgb="FF00CCFF"/>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2">
                    <a:lumMod val="90000"/>
                    <a:lumOff val="10000"/>
                  </a:schemeClr>
                </a:solidFill>
                <a:latin typeface="+mn-lt"/>
                <a:ea typeface="+mn-ea"/>
                <a:cs typeface="+mn-cs"/>
              </a:defRPr>
            </a:pPr>
            <a:r>
              <a:rPr lang="en-IN" sz="1800" b="1" i="0" u="none" strike="noStrike" baseline="0"/>
              <a:t>CPI Contribution by Category – Rural Sector (May 2023)</a:t>
            </a:r>
            <a:endParaRPr lang="en-IN" sz="1800" b="1">
              <a:solidFill>
                <a:schemeClr val="tx2">
                  <a:lumMod val="90000"/>
                  <a:lumOff val="10000"/>
                </a:schemeClr>
              </a:solidFill>
            </a:endParaRPr>
          </a:p>
        </c:rich>
      </c:tx>
      <c:layout>
        <c:manualLayout>
          <c:xMode val="edge"/>
          <c:yMode val="edge"/>
          <c:x val="0.10145263630893507"/>
          <c:y val="0"/>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800" b="1" i="0" u="none" strike="noStrike" kern="1200" spc="0" baseline="0">
              <a:solidFill>
                <a:schemeClr val="tx2">
                  <a:lumMod val="90000"/>
                  <a:lumOff val="10000"/>
                </a:schemeClr>
              </a:solidFill>
              <a:latin typeface="+mn-lt"/>
              <a:ea typeface="+mn-ea"/>
              <a:cs typeface="+mn-cs"/>
            </a:defRPr>
          </a:pPr>
          <a:endParaRPr lang="en-IN"/>
        </a:p>
      </c:txPr>
    </c:title>
    <c:autoTitleDeleted val="0"/>
    <c:plotArea>
      <c:layout>
        <c:manualLayout>
          <c:layoutTarget val="inner"/>
          <c:xMode val="edge"/>
          <c:yMode val="edge"/>
          <c:x val="8.627360218832851E-2"/>
          <c:y val="0.20013626234924384"/>
          <c:w val="0.4436850850755294"/>
          <c:h val="0.64562944885702267"/>
        </c:manualLayout>
      </c:layout>
      <c:doughnutChart>
        <c:varyColors val="1"/>
        <c:ser>
          <c:idx val="0"/>
          <c:order val="0"/>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C0A8-4271-87DD-82C1456ED5FB}"/>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4-C0A8-4271-87DD-82C1456ED5FB}"/>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02-C0A8-4271-87DD-82C1456ED5FB}"/>
              </c:ext>
            </c:extLst>
          </c:dPt>
          <c:dPt>
            <c:idx val="3"/>
            <c:bubble3D val="0"/>
            <c:spPr>
              <a:solidFill>
                <a:schemeClr val="accent4"/>
              </a:solidFill>
              <a:ln w="19050">
                <a:solidFill>
                  <a:schemeClr val="bg1"/>
                </a:solidFill>
              </a:ln>
              <a:effectLst/>
            </c:spPr>
            <c:extLst>
              <c:ext xmlns:c16="http://schemas.microsoft.com/office/drawing/2014/chart" uri="{C3380CC4-5D6E-409C-BE32-E72D297353CC}">
                <c16:uniqueId val="{00000007-AA23-4080-B541-1AA7235BA87D}"/>
              </c:ext>
            </c:extLst>
          </c:dPt>
          <c:dPt>
            <c:idx val="4"/>
            <c:bubble3D val="0"/>
            <c:spPr>
              <a:solidFill>
                <a:schemeClr val="accent5"/>
              </a:solidFill>
              <a:ln w="19050">
                <a:solidFill>
                  <a:schemeClr val="bg1"/>
                </a:solidFill>
              </a:ln>
              <a:effectLst/>
            </c:spPr>
            <c:extLst>
              <c:ext xmlns:c16="http://schemas.microsoft.com/office/drawing/2014/chart" uri="{C3380CC4-5D6E-409C-BE32-E72D297353CC}">
                <c16:uniqueId val="{00000009-AA23-4080-B541-1AA7235BA87D}"/>
              </c:ext>
            </c:extLst>
          </c:dPt>
          <c:dPt>
            <c:idx val="5"/>
            <c:bubble3D val="0"/>
            <c:spPr>
              <a:solidFill>
                <a:schemeClr val="accent6"/>
              </a:solidFill>
              <a:ln w="19050">
                <a:solidFill>
                  <a:schemeClr val="bg1"/>
                </a:solidFill>
              </a:ln>
              <a:effectLst/>
            </c:spPr>
            <c:extLst>
              <c:ext xmlns:c16="http://schemas.microsoft.com/office/drawing/2014/chart" uri="{C3380CC4-5D6E-409C-BE32-E72D297353CC}">
                <c16:uniqueId val="{0000000B-AA23-4080-B541-1AA7235BA87D}"/>
              </c:ext>
            </c:extLst>
          </c:dPt>
          <c:dPt>
            <c:idx val="6"/>
            <c:bubble3D val="0"/>
            <c:spPr>
              <a:solidFill>
                <a:schemeClr val="accent1">
                  <a:lumMod val="60000"/>
                </a:schemeClr>
              </a:solidFill>
              <a:ln w="19050">
                <a:solidFill>
                  <a:schemeClr val="bg1"/>
                </a:solidFill>
              </a:ln>
              <a:effectLst/>
            </c:spPr>
            <c:extLst>
              <c:ext xmlns:c16="http://schemas.microsoft.com/office/drawing/2014/chart" uri="{C3380CC4-5D6E-409C-BE32-E72D297353CC}">
                <c16:uniqueId val="{0000000D-AA23-4080-B541-1AA7235BA87D}"/>
              </c:ext>
            </c:extLst>
          </c:dPt>
          <c:dPt>
            <c:idx val="7"/>
            <c:bubble3D val="0"/>
            <c:spPr>
              <a:solidFill>
                <a:schemeClr val="accent2">
                  <a:lumMod val="60000"/>
                </a:schemeClr>
              </a:solidFill>
              <a:ln w="19050">
                <a:solidFill>
                  <a:schemeClr val="bg1"/>
                </a:solidFill>
              </a:ln>
              <a:effectLst/>
            </c:spPr>
            <c:extLst>
              <c:ext xmlns:c16="http://schemas.microsoft.com/office/drawing/2014/chart" uri="{C3380CC4-5D6E-409C-BE32-E72D297353CC}">
                <c16:uniqueId val="{0000000F-AA23-4080-B541-1AA7235BA87D}"/>
              </c:ext>
            </c:extLst>
          </c:dPt>
          <c:dPt>
            <c:idx val="8"/>
            <c:bubble3D val="0"/>
            <c:spPr>
              <a:solidFill>
                <a:schemeClr val="accent3">
                  <a:lumMod val="60000"/>
                </a:schemeClr>
              </a:solidFill>
              <a:ln w="19050">
                <a:solidFill>
                  <a:schemeClr val="bg1"/>
                </a:solidFill>
              </a:ln>
              <a:effectLst/>
            </c:spPr>
            <c:extLst>
              <c:ext xmlns:c16="http://schemas.microsoft.com/office/drawing/2014/chart" uri="{C3380CC4-5D6E-409C-BE32-E72D297353CC}">
                <c16:uniqueId val="{00000011-AA23-4080-B541-1AA7235BA87D}"/>
              </c:ext>
            </c:extLst>
          </c:dPt>
          <c:dPt>
            <c:idx val="9"/>
            <c:bubble3D val="0"/>
            <c:spPr>
              <a:solidFill>
                <a:srgbClr val="FFC000"/>
              </a:solidFill>
              <a:ln w="19050">
                <a:solidFill>
                  <a:schemeClr val="bg1"/>
                </a:solidFill>
              </a:ln>
              <a:effectLst/>
            </c:spPr>
            <c:extLst>
              <c:ext xmlns:c16="http://schemas.microsoft.com/office/drawing/2014/chart" uri="{C3380CC4-5D6E-409C-BE32-E72D297353CC}">
                <c16:uniqueId val="{00000003-C0A8-4271-87DD-82C1456ED5FB}"/>
              </c:ext>
            </c:extLst>
          </c:dPt>
          <c:dLbls>
            <c:dLbl>
              <c:idx val="0"/>
              <c:layout>
                <c:manualLayout>
                  <c:x val="-2.2895328821016109E-2"/>
                  <c:y val="-3.6528296966425607E-3"/>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387159503010955E-2"/>
                      <c:h val="7.9173405865811716E-2"/>
                    </c:manualLayout>
                  </c15:layout>
                </c:ext>
                <c:ext xmlns:c16="http://schemas.microsoft.com/office/drawing/2014/chart" uri="{C3380CC4-5D6E-409C-BE32-E72D297353CC}">
                  <c16:uniqueId val="{00000001-C0A8-4271-87DD-82C1456ED5FB}"/>
                </c:ext>
              </c:extLst>
            </c:dLbl>
            <c:dLbl>
              <c:idx val="1"/>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C0A8-4271-87DD-82C1456ED5FB}"/>
                </c:ext>
              </c:extLst>
            </c:dLbl>
            <c:dLbl>
              <c:idx val="2"/>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C0A8-4271-87DD-82C1456ED5FB}"/>
                </c:ext>
              </c:extLst>
            </c:dLbl>
            <c:dLbl>
              <c:idx val="9"/>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C0A8-4271-87DD-82C1456ED5F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'Q1'!$K$5:$K$14</c:f>
              <c:strCache>
                <c:ptCount val="10"/>
                <c:pt idx="0">
                  <c:v>Food and beverages</c:v>
                </c:pt>
                <c:pt idx="1">
                  <c:v>Pan, tobacco and intoxicants</c:v>
                </c:pt>
                <c:pt idx="2">
                  <c:v>Clothing and footwear</c:v>
                </c:pt>
                <c:pt idx="3">
                  <c:v>Fuel and light</c:v>
                </c:pt>
                <c:pt idx="4">
                  <c:v>Household goods and services</c:v>
                </c:pt>
                <c:pt idx="5">
                  <c:v>Health</c:v>
                </c:pt>
                <c:pt idx="6">
                  <c:v>Transport and communication</c:v>
                </c:pt>
                <c:pt idx="7">
                  <c:v>Recreation and amusement</c:v>
                </c:pt>
                <c:pt idx="8">
                  <c:v>Education</c:v>
                </c:pt>
                <c:pt idx="9">
                  <c:v>Miscellaneous</c:v>
                </c:pt>
              </c:strCache>
            </c:strRef>
          </c:cat>
          <c:val>
            <c:numRef>
              <c:f>'Q1'!$J$5:$J$14</c:f>
              <c:numCache>
                <c:formatCode>0.00</c:formatCode>
                <c:ptCount val="10"/>
                <c:pt idx="0">
                  <c:v>50.918022583800116</c:v>
                </c:pt>
                <c:pt idx="1">
                  <c:v>4.4434071307904333</c:v>
                </c:pt>
                <c:pt idx="2">
                  <c:v>12.667822530452563</c:v>
                </c:pt>
                <c:pt idx="3">
                  <c:v>4.0566373255090244</c:v>
                </c:pt>
                <c:pt idx="4">
                  <c:v>3.99662132124122</c:v>
                </c:pt>
                <c:pt idx="5">
                  <c:v>4.1744465190717523</c:v>
                </c:pt>
                <c:pt idx="6">
                  <c:v>3.7721170089801719</c:v>
                </c:pt>
                <c:pt idx="7">
                  <c:v>3.8632524228683205</c:v>
                </c:pt>
                <c:pt idx="8">
                  <c:v>4.0077353961056277</c:v>
                </c:pt>
                <c:pt idx="9">
                  <c:v>8.0999377611807581</c:v>
                </c:pt>
              </c:numCache>
            </c:numRef>
          </c:val>
          <c:extLst>
            <c:ext xmlns:c16="http://schemas.microsoft.com/office/drawing/2014/chart" uri="{C3380CC4-5D6E-409C-BE32-E72D297353CC}">
              <c16:uniqueId val="{00000000-C0A8-4271-87DD-82C1456ED5FB}"/>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r"/>
      <c:layout>
        <c:manualLayout>
          <c:xMode val="edge"/>
          <c:yMode val="edge"/>
          <c:x val="0.60343224330114553"/>
          <c:y val="0.15511629794146881"/>
          <c:w val="0.38784575937520283"/>
          <c:h val="0.81133636803914144"/>
        </c:manualLayout>
      </c:layout>
      <c:overlay val="0"/>
      <c:spPr>
        <a:noFill/>
        <a:ln>
          <a:noFill/>
        </a:ln>
        <a:effectLst/>
      </c:spPr>
      <c:txPr>
        <a:bodyPr rot="0" spcFirstLastPara="1" vertOverflow="ellipsis" vert="horz" wrap="square" anchor="ctr" anchorCtr="1"/>
        <a:lstStyle/>
        <a:p>
          <a:pPr rtl="0">
            <a:defRPr sz="1200" b="1" i="0" u="sng"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2">
                    <a:lumMod val="90000"/>
                    <a:lumOff val="10000"/>
                  </a:schemeClr>
                </a:solidFill>
                <a:latin typeface="+mn-lt"/>
                <a:ea typeface="+mn-ea"/>
                <a:cs typeface="+mn-cs"/>
              </a:defRPr>
            </a:pPr>
            <a:r>
              <a:rPr lang="en-IN" sz="1800" b="1" i="0" u="none" strike="noStrike" baseline="0"/>
              <a:t>CPI Contribution by Category – Urban Sector (May 2023)</a:t>
            </a:r>
            <a:endParaRPr lang="en-IN" sz="1800" b="1">
              <a:solidFill>
                <a:schemeClr val="tx2">
                  <a:lumMod val="90000"/>
                  <a:lumOff val="10000"/>
                </a:schemeClr>
              </a:solidFill>
            </a:endParaRPr>
          </a:p>
        </c:rich>
      </c:tx>
      <c:layout>
        <c:manualLayout>
          <c:xMode val="edge"/>
          <c:yMode val="edge"/>
          <c:x val="0.10145263630893507"/>
          <c:y val="0"/>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800" b="1" i="0" u="none" strike="noStrike" kern="1200" spc="0" baseline="0">
              <a:solidFill>
                <a:schemeClr val="tx2">
                  <a:lumMod val="90000"/>
                  <a:lumOff val="10000"/>
                </a:schemeClr>
              </a:solidFill>
              <a:latin typeface="+mn-lt"/>
              <a:ea typeface="+mn-ea"/>
              <a:cs typeface="+mn-cs"/>
            </a:defRPr>
          </a:pPr>
          <a:endParaRPr lang="en-IN"/>
        </a:p>
      </c:txPr>
    </c:title>
    <c:autoTitleDeleted val="0"/>
    <c:plotArea>
      <c:layout>
        <c:manualLayout>
          <c:layoutTarget val="inner"/>
          <c:xMode val="edge"/>
          <c:yMode val="edge"/>
          <c:x val="8.627360218832851E-2"/>
          <c:y val="0.20013626234924384"/>
          <c:w val="0.4436850850755294"/>
          <c:h val="0.64562944885702267"/>
        </c:manualLayout>
      </c:layout>
      <c:doughnutChart>
        <c:varyColors val="1"/>
        <c:ser>
          <c:idx val="0"/>
          <c:order val="0"/>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7F2B-4370-8F0E-88B2A48EAA8C}"/>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7F2B-4370-8F0E-88B2A48EAA8C}"/>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05-7F2B-4370-8F0E-88B2A48EAA8C}"/>
              </c:ext>
            </c:extLst>
          </c:dPt>
          <c:dPt>
            <c:idx val="3"/>
            <c:bubble3D val="0"/>
            <c:spPr>
              <a:solidFill>
                <a:schemeClr val="accent4"/>
              </a:solidFill>
              <a:ln w="19050">
                <a:solidFill>
                  <a:schemeClr val="bg1"/>
                </a:solidFill>
              </a:ln>
              <a:effectLst/>
            </c:spPr>
            <c:extLst>
              <c:ext xmlns:c16="http://schemas.microsoft.com/office/drawing/2014/chart" uri="{C3380CC4-5D6E-409C-BE32-E72D297353CC}">
                <c16:uniqueId val="{00000007-7F2B-4370-8F0E-88B2A48EAA8C}"/>
              </c:ext>
            </c:extLst>
          </c:dPt>
          <c:dPt>
            <c:idx val="4"/>
            <c:bubble3D val="0"/>
            <c:spPr>
              <a:solidFill>
                <a:schemeClr val="accent5"/>
              </a:solidFill>
              <a:ln w="19050">
                <a:solidFill>
                  <a:schemeClr val="bg1"/>
                </a:solidFill>
              </a:ln>
              <a:effectLst/>
            </c:spPr>
            <c:extLst>
              <c:ext xmlns:c16="http://schemas.microsoft.com/office/drawing/2014/chart" uri="{C3380CC4-5D6E-409C-BE32-E72D297353CC}">
                <c16:uniqueId val="{00000009-7F2B-4370-8F0E-88B2A48EAA8C}"/>
              </c:ext>
            </c:extLst>
          </c:dPt>
          <c:dPt>
            <c:idx val="5"/>
            <c:bubble3D val="0"/>
            <c:spPr>
              <a:solidFill>
                <a:schemeClr val="accent6"/>
              </a:solidFill>
              <a:ln w="19050">
                <a:solidFill>
                  <a:schemeClr val="bg1"/>
                </a:solidFill>
              </a:ln>
              <a:effectLst/>
            </c:spPr>
            <c:extLst>
              <c:ext xmlns:c16="http://schemas.microsoft.com/office/drawing/2014/chart" uri="{C3380CC4-5D6E-409C-BE32-E72D297353CC}">
                <c16:uniqueId val="{0000000B-7F2B-4370-8F0E-88B2A48EAA8C}"/>
              </c:ext>
            </c:extLst>
          </c:dPt>
          <c:dPt>
            <c:idx val="6"/>
            <c:bubble3D val="0"/>
            <c:spPr>
              <a:solidFill>
                <a:schemeClr val="accent1">
                  <a:lumMod val="60000"/>
                </a:schemeClr>
              </a:solidFill>
              <a:ln w="19050">
                <a:solidFill>
                  <a:schemeClr val="bg1"/>
                </a:solidFill>
              </a:ln>
              <a:effectLst/>
            </c:spPr>
            <c:extLst>
              <c:ext xmlns:c16="http://schemas.microsoft.com/office/drawing/2014/chart" uri="{C3380CC4-5D6E-409C-BE32-E72D297353CC}">
                <c16:uniqueId val="{0000000D-7F2B-4370-8F0E-88B2A48EAA8C}"/>
              </c:ext>
            </c:extLst>
          </c:dPt>
          <c:dPt>
            <c:idx val="7"/>
            <c:bubble3D val="0"/>
            <c:spPr>
              <a:solidFill>
                <a:schemeClr val="accent2">
                  <a:lumMod val="60000"/>
                </a:schemeClr>
              </a:solidFill>
              <a:ln w="19050">
                <a:solidFill>
                  <a:schemeClr val="bg1"/>
                </a:solidFill>
              </a:ln>
              <a:effectLst/>
            </c:spPr>
            <c:extLst>
              <c:ext xmlns:c16="http://schemas.microsoft.com/office/drawing/2014/chart" uri="{C3380CC4-5D6E-409C-BE32-E72D297353CC}">
                <c16:uniqueId val="{0000000F-7F2B-4370-8F0E-88B2A48EAA8C}"/>
              </c:ext>
            </c:extLst>
          </c:dPt>
          <c:dPt>
            <c:idx val="8"/>
            <c:bubble3D val="0"/>
            <c:spPr>
              <a:solidFill>
                <a:schemeClr val="accent3">
                  <a:lumMod val="60000"/>
                </a:schemeClr>
              </a:solidFill>
              <a:ln w="19050">
                <a:solidFill>
                  <a:schemeClr val="bg1"/>
                </a:solidFill>
              </a:ln>
              <a:effectLst/>
            </c:spPr>
            <c:extLst>
              <c:ext xmlns:c16="http://schemas.microsoft.com/office/drawing/2014/chart" uri="{C3380CC4-5D6E-409C-BE32-E72D297353CC}">
                <c16:uniqueId val="{00000011-7F2B-4370-8F0E-88B2A48EAA8C}"/>
              </c:ext>
            </c:extLst>
          </c:dPt>
          <c:dPt>
            <c:idx val="9"/>
            <c:bubble3D val="0"/>
            <c:spPr>
              <a:solidFill>
                <a:srgbClr val="FFC000"/>
              </a:solidFill>
              <a:ln w="19050">
                <a:solidFill>
                  <a:schemeClr val="bg1"/>
                </a:solidFill>
              </a:ln>
              <a:effectLst/>
            </c:spPr>
            <c:extLst>
              <c:ext xmlns:c16="http://schemas.microsoft.com/office/drawing/2014/chart" uri="{C3380CC4-5D6E-409C-BE32-E72D297353CC}">
                <c16:uniqueId val="{00000013-7F2B-4370-8F0E-88B2A48EAA8C}"/>
              </c:ext>
            </c:extLst>
          </c:dPt>
          <c:dPt>
            <c:idx val="10"/>
            <c:bubble3D val="0"/>
            <c:spPr>
              <a:solidFill>
                <a:schemeClr val="accent5">
                  <a:lumMod val="60000"/>
                </a:schemeClr>
              </a:solidFill>
              <a:ln w="19050">
                <a:solidFill>
                  <a:schemeClr val="bg1"/>
                </a:solidFill>
              </a:ln>
              <a:effectLst/>
            </c:spPr>
            <c:extLst>
              <c:ext xmlns:c16="http://schemas.microsoft.com/office/drawing/2014/chart" uri="{C3380CC4-5D6E-409C-BE32-E72D297353CC}">
                <c16:uniqueId val="{00000015-4AC6-416D-B4AA-24A68BDBF4C4}"/>
              </c:ext>
            </c:extLst>
          </c:dPt>
          <c:dLbls>
            <c:dLbl>
              <c:idx val="0"/>
              <c:layout>
                <c:manualLayout>
                  <c:x val="-2.2895328821016109E-2"/>
                  <c:y val="-3.6528296966425607E-3"/>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387159503010955E-2"/>
                      <c:h val="7.9173405865811716E-2"/>
                    </c:manualLayout>
                  </c15:layout>
                </c:ext>
                <c:ext xmlns:c16="http://schemas.microsoft.com/office/drawing/2014/chart" uri="{C3380CC4-5D6E-409C-BE32-E72D297353CC}">
                  <c16:uniqueId val="{00000001-7F2B-4370-8F0E-88B2A48EAA8C}"/>
                </c:ext>
              </c:extLst>
            </c:dLbl>
            <c:dLbl>
              <c:idx val="1"/>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7F2B-4370-8F0E-88B2A48EAA8C}"/>
                </c:ext>
              </c:extLst>
            </c:dLbl>
            <c:dLbl>
              <c:idx val="2"/>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7F2B-4370-8F0E-88B2A48EAA8C}"/>
                </c:ext>
              </c:extLst>
            </c:dLbl>
            <c:dLbl>
              <c:idx val="9"/>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13-7F2B-4370-8F0E-88B2A48EAA8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'Q1'!$K$38:$K$48</c:f>
              <c:strCache>
                <c:ptCount val="11"/>
                <c:pt idx="0">
                  <c:v>Food and beverages</c:v>
                </c:pt>
                <c:pt idx="1">
                  <c:v>Pan, tobacco and intoxicants</c:v>
                </c:pt>
                <c:pt idx="2">
                  <c:v>Clothing and footwear</c:v>
                </c:pt>
                <c:pt idx="3">
                  <c:v>housing</c:v>
                </c:pt>
                <c:pt idx="4">
                  <c:v>Fuel and light</c:v>
                </c:pt>
                <c:pt idx="5">
                  <c:v>Household goods and services</c:v>
                </c:pt>
                <c:pt idx="6">
                  <c:v>Health</c:v>
                </c:pt>
                <c:pt idx="7">
                  <c:v>Transport and communication</c:v>
                </c:pt>
                <c:pt idx="8">
                  <c:v>Recreation and amusement</c:v>
                </c:pt>
                <c:pt idx="9">
                  <c:v>Education</c:v>
                </c:pt>
                <c:pt idx="10">
                  <c:v>Miscellaneous</c:v>
                </c:pt>
              </c:strCache>
            </c:strRef>
          </c:cat>
          <c:val>
            <c:numRef>
              <c:f>'Q1'!$J$38:$J$48</c:f>
              <c:numCache>
                <c:formatCode>0.00</c:formatCode>
                <c:ptCount val="11"/>
                <c:pt idx="0">
                  <c:v>50.32</c:v>
                </c:pt>
                <c:pt idx="1">
                  <c:v>4.4000000000000004</c:v>
                </c:pt>
                <c:pt idx="2">
                  <c:v>11.39</c:v>
                </c:pt>
                <c:pt idx="3">
                  <c:v>3.78</c:v>
                </c:pt>
                <c:pt idx="4">
                  <c:v>3.95</c:v>
                </c:pt>
                <c:pt idx="5">
                  <c:v>3.67</c:v>
                </c:pt>
                <c:pt idx="6">
                  <c:v>3.93</c:v>
                </c:pt>
                <c:pt idx="7">
                  <c:v>3.46</c:v>
                </c:pt>
                <c:pt idx="8">
                  <c:v>3.65</c:v>
                </c:pt>
                <c:pt idx="9">
                  <c:v>3.77</c:v>
                </c:pt>
                <c:pt idx="10">
                  <c:v>7.7</c:v>
                </c:pt>
              </c:numCache>
            </c:numRef>
          </c:val>
          <c:extLst>
            <c:ext xmlns:c16="http://schemas.microsoft.com/office/drawing/2014/chart" uri="{C3380CC4-5D6E-409C-BE32-E72D297353CC}">
              <c16:uniqueId val="{00000014-7F2B-4370-8F0E-88B2A48EAA8C}"/>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r"/>
      <c:layout>
        <c:manualLayout>
          <c:xMode val="edge"/>
          <c:yMode val="edge"/>
          <c:x val="0.60343224330114553"/>
          <c:y val="0.15511629794146881"/>
          <c:w val="0.38784575937520283"/>
          <c:h val="0.81133636803914144"/>
        </c:manualLayout>
      </c:layout>
      <c:overlay val="0"/>
      <c:spPr>
        <a:noFill/>
        <a:ln>
          <a:noFill/>
        </a:ln>
        <a:effectLst/>
      </c:spPr>
      <c:txPr>
        <a:bodyPr rot="0" spcFirstLastPara="1" vertOverflow="ellipsis" vert="horz" wrap="square" anchor="ctr" anchorCtr="1"/>
        <a:lstStyle/>
        <a:p>
          <a:pPr rtl="0">
            <a:defRPr sz="1200" b="1" i="0" u="sng"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2">
                    <a:lumMod val="90000"/>
                    <a:lumOff val="10000"/>
                  </a:schemeClr>
                </a:solidFill>
                <a:latin typeface="+mn-lt"/>
                <a:ea typeface="+mn-ea"/>
                <a:cs typeface="+mn-cs"/>
              </a:defRPr>
            </a:pPr>
            <a:r>
              <a:rPr lang="en-IN" sz="1800" b="1" i="0" u="none" strike="noStrike" baseline="0"/>
              <a:t>CPI Contribution by Category – Rural+Urban Sector (May 2023)</a:t>
            </a:r>
            <a:endParaRPr lang="en-IN" sz="1800" b="1">
              <a:solidFill>
                <a:schemeClr val="tx2">
                  <a:lumMod val="90000"/>
                  <a:lumOff val="10000"/>
                </a:schemeClr>
              </a:solidFill>
            </a:endParaRPr>
          </a:p>
        </c:rich>
      </c:tx>
      <c:layout>
        <c:manualLayout>
          <c:xMode val="edge"/>
          <c:yMode val="edge"/>
          <c:x val="0.10145263630893507"/>
          <c:y val="0"/>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800" b="1" i="0" u="none" strike="noStrike" kern="1200" spc="0" baseline="0">
              <a:solidFill>
                <a:schemeClr val="tx2">
                  <a:lumMod val="90000"/>
                  <a:lumOff val="10000"/>
                </a:schemeClr>
              </a:solidFill>
              <a:latin typeface="+mn-lt"/>
              <a:ea typeface="+mn-ea"/>
              <a:cs typeface="+mn-cs"/>
            </a:defRPr>
          </a:pPr>
          <a:endParaRPr lang="en-IN"/>
        </a:p>
      </c:txPr>
    </c:title>
    <c:autoTitleDeleted val="0"/>
    <c:plotArea>
      <c:layout>
        <c:manualLayout>
          <c:layoutTarget val="inner"/>
          <c:xMode val="edge"/>
          <c:yMode val="edge"/>
          <c:x val="8.627360218832851E-2"/>
          <c:y val="0.20013626234924384"/>
          <c:w val="0.4436850850755294"/>
          <c:h val="0.64562944885702267"/>
        </c:manualLayout>
      </c:layout>
      <c:doughnutChart>
        <c:varyColors val="1"/>
        <c:ser>
          <c:idx val="0"/>
          <c:order val="0"/>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F1EA-42B9-BD99-439FD60A58DA}"/>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F1EA-42B9-BD99-439FD60A58DA}"/>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05-F1EA-42B9-BD99-439FD60A58DA}"/>
              </c:ext>
            </c:extLst>
          </c:dPt>
          <c:dPt>
            <c:idx val="3"/>
            <c:bubble3D val="0"/>
            <c:spPr>
              <a:solidFill>
                <a:schemeClr val="accent4"/>
              </a:solidFill>
              <a:ln w="19050">
                <a:solidFill>
                  <a:schemeClr val="bg1"/>
                </a:solidFill>
              </a:ln>
              <a:effectLst/>
            </c:spPr>
            <c:extLst>
              <c:ext xmlns:c16="http://schemas.microsoft.com/office/drawing/2014/chart" uri="{C3380CC4-5D6E-409C-BE32-E72D297353CC}">
                <c16:uniqueId val="{00000007-F1EA-42B9-BD99-439FD60A58DA}"/>
              </c:ext>
            </c:extLst>
          </c:dPt>
          <c:dPt>
            <c:idx val="4"/>
            <c:bubble3D val="0"/>
            <c:spPr>
              <a:solidFill>
                <a:schemeClr val="accent5"/>
              </a:solidFill>
              <a:ln w="19050">
                <a:solidFill>
                  <a:schemeClr val="bg1"/>
                </a:solidFill>
              </a:ln>
              <a:effectLst/>
            </c:spPr>
            <c:extLst>
              <c:ext xmlns:c16="http://schemas.microsoft.com/office/drawing/2014/chart" uri="{C3380CC4-5D6E-409C-BE32-E72D297353CC}">
                <c16:uniqueId val="{00000009-F1EA-42B9-BD99-439FD60A58DA}"/>
              </c:ext>
            </c:extLst>
          </c:dPt>
          <c:dPt>
            <c:idx val="5"/>
            <c:bubble3D val="0"/>
            <c:spPr>
              <a:solidFill>
                <a:schemeClr val="accent6"/>
              </a:solidFill>
              <a:ln w="19050">
                <a:solidFill>
                  <a:schemeClr val="bg1"/>
                </a:solidFill>
              </a:ln>
              <a:effectLst/>
            </c:spPr>
            <c:extLst>
              <c:ext xmlns:c16="http://schemas.microsoft.com/office/drawing/2014/chart" uri="{C3380CC4-5D6E-409C-BE32-E72D297353CC}">
                <c16:uniqueId val="{0000000B-F1EA-42B9-BD99-439FD60A58DA}"/>
              </c:ext>
            </c:extLst>
          </c:dPt>
          <c:dPt>
            <c:idx val="6"/>
            <c:bubble3D val="0"/>
            <c:spPr>
              <a:solidFill>
                <a:schemeClr val="accent1">
                  <a:lumMod val="60000"/>
                </a:schemeClr>
              </a:solidFill>
              <a:ln w="19050">
                <a:solidFill>
                  <a:schemeClr val="bg1"/>
                </a:solidFill>
              </a:ln>
              <a:effectLst/>
            </c:spPr>
            <c:extLst>
              <c:ext xmlns:c16="http://schemas.microsoft.com/office/drawing/2014/chart" uri="{C3380CC4-5D6E-409C-BE32-E72D297353CC}">
                <c16:uniqueId val="{0000000D-F1EA-42B9-BD99-439FD60A58DA}"/>
              </c:ext>
            </c:extLst>
          </c:dPt>
          <c:dPt>
            <c:idx val="7"/>
            <c:bubble3D val="0"/>
            <c:spPr>
              <a:solidFill>
                <a:schemeClr val="accent2">
                  <a:lumMod val="60000"/>
                </a:schemeClr>
              </a:solidFill>
              <a:ln w="19050">
                <a:solidFill>
                  <a:schemeClr val="bg1"/>
                </a:solidFill>
              </a:ln>
              <a:effectLst/>
            </c:spPr>
            <c:extLst>
              <c:ext xmlns:c16="http://schemas.microsoft.com/office/drawing/2014/chart" uri="{C3380CC4-5D6E-409C-BE32-E72D297353CC}">
                <c16:uniqueId val="{0000000F-F1EA-42B9-BD99-439FD60A58DA}"/>
              </c:ext>
            </c:extLst>
          </c:dPt>
          <c:dPt>
            <c:idx val="8"/>
            <c:bubble3D val="0"/>
            <c:spPr>
              <a:solidFill>
                <a:schemeClr val="accent3">
                  <a:lumMod val="60000"/>
                </a:schemeClr>
              </a:solidFill>
              <a:ln w="19050">
                <a:solidFill>
                  <a:schemeClr val="bg1"/>
                </a:solidFill>
              </a:ln>
              <a:effectLst/>
            </c:spPr>
            <c:extLst>
              <c:ext xmlns:c16="http://schemas.microsoft.com/office/drawing/2014/chart" uri="{C3380CC4-5D6E-409C-BE32-E72D297353CC}">
                <c16:uniqueId val="{00000011-F1EA-42B9-BD99-439FD60A58DA}"/>
              </c:ext>
            </c:extLst>
          </c:dPt>
          <c:dPt>
            <c:idx val="9"/>
            <c:bubble3D val="0"/>
            <c:spPr>
              <a:solidFill>
                <a:srgbClr val="FFC000"/>
              </a:solidFill>
              <a:ln w="19050">
                <a:solidFill>
                  <a:schemeClr val="bg1"/>
                </a:solidFill>
              </a:ln>
              <a:effectLst/>
            </c:spPr>
            <c:extLst>
              <c:ext xmlns:c16="http://schemas.microsoft.com/office/drawing/2014/chart" uri="{C3380CC4-5D6E-409C-BE32-E72D297353CC}">
                <c16:uniqueId val="{00000013-F1EA-42B9-BD99-439FD60A58DA}"/>
              </c:ext>
            </c:extLst>
          </c:dPt>
          <c:dPt>
            <c:idx val="10"/>
            <c:bubble3D val="0"/>
            <c:spPr>
              <a:solidFill>
                <a:schemeClr val="accent5">
                  <a:lumMod val="60000"/>
                </a:schemeClr>
              </a:solidFill>
              <a:ln w="19050">
                <a:solidFill>
                  <a:schemeClr val="bg1"/>
                </a:solidFill>
              </a:ln>
              <a:effectLst/>
            </c:spPr>
            <c:extLst>
              <c:ext xmlns:c16="http://schemas.microsoft.com/office/drawing/2014/chart" uri="{C3380CC4-5D6E-409C-BE32-E72D297353CC}">
                <c16:uniqueId val="{00000015-F1EA-42B9-BD99-439FD60A58DA}"/>
              </c:ext>
            </c:extLst>
          </c:dPt>
          <c:dLbls>
            <c:dLbl>
              <c:idx val="0"/>
              <c:layout>
                <c:manualLayout>
                  <c:x val="-2.2895328821016109E-2"/>
                  <c:y val="-3.6528296966425607E-3"/>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387159503010955E-2"/>
                      <c:h val="7.9173405865811716E-2"/>
                    </c:manualLayout>
                  </c15:layout>
                </c:ext>
                <c:ext xmlns:c16="http://schemas.microsoft.com/office/drawing/2014/chart" uri="{C3380CC4-5D6E-409C-BE32-E72D297353CC}">
                  <c16:uniqueId val="{00000001-F1EA-42B9-BD99-439FD60A58DA}"/>
                </c:ext>
              </c:extLst>
            </c:dLbl>
            <c:dLbl>
              <c:idx val="1"/>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F1EA-42B9-BD99-439FD60A58DA}"/>
                </c:ext>
              </c:extLst>
            </c:dLbl>
            <c:dLbl>
              <c:idx val="2"/>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F1EA-42B9-BD99-439FD60A58DA}"/>
                </c:ext>
              </c:extLst>
            </c:dLbl>
            <c:dLbl>
              <c:idx val="9"/>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13-F1EA-42B9-BD99-439FD60A58D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solidFill>
                        <a:schemeClr val="bg1"/>
                      </a:solidFill>
                    </a:ln>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'Q1'!$K$38:$K$48</c:f>
              <c:strCache>
                <c:ptCount val="11"/>
                <c:pt idx="0">
                  <c:v>Food and beverages</c:v>
                </c:pt>
                <c:pt idx="1">
                  <c:v>Pan, tobacco and intoxicants</c:v>
                </c:pt>
                <c:pt idx="2">
                  <c:v>Clothing and footwear</c:v>
                </c:pt>
                <c:pt idx="3">
                  <c:v>housing</c:v>
                </c:pt>
                <c:pt idx="4">
                  <c:v>Fuel and light</c:v>
                </c:pt>
                <c:pt idx="5">
                  <c:v>Household goods and services</c:v>
                </c:pt>
                <c:pt idx="6">
                  <c:v>Health</c:v>
                </c:pt>
                <c:pt idx="7">
                  <c:v>Transport and communication</c:v>
                </c:pt>
                <c:pt idx="8">
                  <c:v>Recreation and amusement</c:v>
                </c:pt>
                <c:pt idx="9">
                  <c:v>Education</c:v>
                </c:pt>
                <c:pt idx="10">
                  <c:v>Miscellaneous</c:v>
                </c:pt>
              </c:strCache>
            </c:strRef>
          </c:cat>
          <c:val>
            <c:numRef>
              <c:f>'Q1'!$J$69:$J$79</c:f>
              <c:numCache>
                <c:formatCode>0.00</c:formatCode>
                <c:ptCount val="11"/>
                <c:pt idx="0">
                  <c:v>49.563853557923679</c:v>
                </c:pt>
                <c:pt idx="1">
                  <c:v>4.3184943279477483</c:v>
                </c:pt>
                <c:pt idx="2">
                  <c:v>11.885527672739773</c:v>
                </c:pt>
                <c:pt idx="3">
                  <c:v>3.7727741491921618</c:v>
                </c:pt>
                <c:pt idx="4">
                  <c:v>3.9274664833276041</c:v>
                </c:pt>
                <c:pt idx="5">
                  <c:v>3.7641801306290814</c:v>
                </c:pt>
                <c:pt idx="6">
                  <c:v>3.9897731179099338</c:v>
                </c:pt>
                <c:pt idx="7">
                  <c:v>3.5407356479889995</c:v>
                </c:pt>
                <c:pt idx="8">
                  <c:v>3.678239944998281</c:v>
                </c:pt>
                <c:pt idx="9">
                  <c:v>3.805001718803712</c:v>
                </c:pt>
                <c:pt idx="10">
                  <c:v>7.7539532485390152</c:v>
                </c:pt>
              </c:numCache>
            </c:numRef>
          </c:val>
          <c:extLst>
            <c:ext xmlns:c16="http://schemas.microsoft.com/office/drawing/2014/chart" uri="{C3380CC4-5D6E-409C-BE32-E72D297353CC}">
              <c16:uniqueId val="{00000016-F1EA-42B9-BD99-439FD60A58DA}"/>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r"/>
      <c:layout>
        <c:manualLayout>
          <c:xMode val="edge"/>
          <c:yMode val="edge"/>
          <c:x val="0.60343224330114553"/>
          <c:y val="0.15511629794146881"/>
          <c:w val="0.38784575937520283"/>
          <c:h val="0.81133636803914144"/>
        </c:manualLayout>
      </c:layout>
      <c:overlay val="0"/>
      <c:spPr>
        <a:noFill/>
        <a:ln>
          <a:noFill/>
        </a:ln>
        <a:effectLst/>
      </c:spPr>
      <c:txPr>
        <a:bodyPr rot="0" spcFirstLastPara="1" vertOverflow="ellipsis" vert="horz" wrap="square" anchor="ctr" anchorCtr="1"/>
        <a:lstStyle/>
        <a:p>
          <a:pPr rtl="0">
            <a:defRPr sz="1200" b="1" i="0" u="sng"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600" b="1" i="0" u="none" strike="noStrike" baseline="0"/>
              <a:t>Y-o-Y CPI Inflation Trend (Rural + Urban), 2017–2022</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lotArea>
      <c:layout>
        <c:manualLayout>
          <c:layoutTarget val="inner"/>
          <c:xMode val="edge"/>
          <c:yMode val="edge"/>
          <c:x val="0.16374969225826105"/>
          <c:y val="0.21713602887351488"/>
          <c:w val="0.80710351388906276"/>
          <c:h val="0.60976833709461842"/>
        </c:manualLayout>
      </c:layout>
      <c:lineChart>
        <c:grouping val="standard"/>
        <c:varyColors val="0"/>
        <c:ser>
          <c:idx val="0"/>
          <c:order val="0"/>
          <c:tx>
            <c:strRef>
              <c:f>'Q2'!$B$3</c:f>
              <c:strCache>
                <c:ptCount val="1"/>
                <c:pt idx="0">
                  <c:v>ANNUAL Y-O-Y</c:v>
                </c:pt>
              </c:strCache>
            </c:strRef>
          </c:tx>
          <c:spPr>
            <a:ln w="31750" cap="rnd">
              <a:solidFill>
                <a:schemeClr val="accent1">
                  <a:lumMod val="50000"/>
                </a:schemeClr>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'Q2'!$A$4:$A$9</c:f>
              <c:numCache>
                <c:formatCode>General</c:formatCode>
                <c:ptCount val="6"/>
                <c:pt idx="0">
                  <c:v>2017</c:v>
                </c:pt>
                <c:pt idx="1">
                  <c:v>2018</c:v>
                </c:pt>
                <c:pt idx="2">
                  <c:v>2019</c:v>
                </c:pt>
                <c:pt idx="3">
                  <c:v>2020</c:v>
                </c:pt>
                <c:pt idx="4">
                  <c:v>2021</c:v>
                </c:pt>
                <c:pt idx="5">
                  <c:v>2022</c:v>
                </c:pt>
              </c:numCache>
            </c:numRef>
          </c:cat>
          <c:val>
            <c:numRef>
              <c:f>'Q2'!$B$4:$B$9</c:f>
              <c:numCache>
                <c:formatCode>0.00</c:formatCode>
                <c:ptCount val="6"/>
                <c:pt idx="0">
                  <c:v>3.3273885375365371</c:v>
                </c:pt>
                <c:pt idx="1">
                  <c:v>3.9676971910429089</c:v>
                </c:pt>
                <c:pt idx="2">
                  <c:v>3.9729559917622894</c:v>
                </c:pt>
                <c:pt idx="3">
                  <c:v>6.2489165355952059</c:v>
                </c:pt>
                <c:pt idx="4">
                  <c:v>5.5310690556844584</c:v>
                </c:pt>
                <c:pt idx="5">
                  <c:v>6.6240649804989227</c:v>
                </c:pt>
              </c:numCache>
            </c:numRef>
          </c:val>
          <c:smooth val="0"/>
          <c:extLst>
            <c:ext xmlns:c16="http://schemas.microsoft.com/office/drawing/2014/chart" uri="{C3380CC4-5D6E-409C-BE32-E72D297353CC}">
              <c16:uniqueId val="{00000000-6AA8-4A8E-9C17-CB51A88CF95D}"/>
            </c:ext>
          </c:extLst>
        </c:ser>
        <c:dLbls>
          <c:dLblPos val="t"/>
          <c:showLegendKey val="0"/>
          <c:showVal val="1"/>
          <c:showCatName val="0"/>
          <c:showSerName val="0"/>
          <c:showPercent val="0"/>
          <c:showBubbleSize val="0"/>
        </c:dLbls>
        <c:smooth val="0"/>
        <c:axId val="1303044880"/>
        <c:axId val="814985040"/>
      </c:lineChart>
      <c:catAx>
        <c:axId val="1303044880"/>
        <c:scaling>
          <c:orientation val="minMax"/>
        </c:scaling>
        <c:delete val="0"/>
        <c:axPos val="b"/>
        <c:majorGridlines>
          <c:spPr>
            <a:ln w="9525" cap="flat" cmpd="sng" algn="ctr">
              <a:solidFill>
                <a:schemeClr val="accent1">
                  <a:lumMod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14985040"/>
        <c:crosses val="autoZero"/>
        <c:auto val="1"/>
        <c:lblAlgn val="ctr"/>
        <c:lblOffset val="100"/>
        <c:noMultiLvlLbl val="0"/>
      </c:catAx>
      <c:valAx>
        <c:axId val="814985040"/>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r>
                  <a:rPr lang="en-IN"/>
                  <a:t> </a:t>
                </a:r>
                <a:r>
                  <a:rPr lang="en-IN" b="1"/>
                  <a:t>Y-o-Y Inflation Rate (%)</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endParaRPr lang="en-IN"/>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03044880"/>
        <c:crosses val="autoZero"/>
        <c:crossBetween val="between"/>
      </c:valAx>
      <c:spPr>
        <a:solidFill>
          <a:schemeClr val="accent4">
            <a:lumMod val="40000"/>
            <a:lumOff val="60000"/>
          </a:schemeClr>
        </a:solidFill>
        <a:ln>
          <a:solidFill>
            <a:schemeClr val="accent4">
              <a:lumMod val="60000"/>
              <a:lumOff val="40000"/>
            </a:schemeClr>
          </a:solidFill>
        </a:ln>
        <a:effectLst/>
      </c:spPr>
    </c:plotArea>
    <c:plotVisOnly val="1"/>
    <c:dispBlanksAs val="gap"/>
    <c:showDLblsOverMax val="0"/>
  </c:chart>
  <c:spPr>
    <a:solidFill>
      <a:schemeClr val="accent4">
        <a:lumMod val="20000"/>
        <a:lumOff val="80000"/>
      </a:schemeClr>
    </a:solidFill>
    <a:ln w="190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Rural Sector Monthly Food Inflation Trend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lotArea>
      <c:layout>
        <c:manualLayout>
          <c:layoutTarget val="inner"/>
          <c:xMode val="edge"/>
          <c:yMode val="edge"/>
          <c:x val="0.15774781277340333"/>
          <c:y val="0.1902314814814815"/>
          <c:w val="0.81725218722659665"/>
          <c:h val="0.70696741032370958"/>
        </c:manualLayout>
      </c:layout>
      <c:lineChart>
        <c:grouping val="standard"/>
        <c:varyColors val="0"/>
        <c:ser>
          <c:idx val="0"/>
          <c:order val="0"/>
          <c:spPr>
            <a:ln w="19050" cap="flat" cmpd="sng" algn="ctr">
              <a:solidFill>
                <a:schemeClr val="accent4">
                  <a:shade val="15000"/>
                </a:schemeClr>
              </a:solidFill>
              <a:prstDash val="solid"/>
              <a:miter lim="800000"/>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'Q3'!$B$4:$B$15</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'Q3'!$F$4:$F$15</c:f>
              <c:numCache>
                <c:formatCode>0.00</c:formatCode>
                <c:ptCount val="12"/>
                <c:pt idx="0">
                  <c:v>0.96551104724268388</c:v>
                </c:pt>
                <c:pt idx="1">
                  <c:v>0.1868078103455876</c:v>
                </c:pt>
                <c:pt idx="2">
                  <c:v>0.1465038845726811</c:v>
                </c:pt>
                <c:pt idx="3">
                  <c:v>0.53196205337354874</c:v>
                </c:pt>
                <c:pt idx="4">
                  <c:v>0.73639650762852682</c:v>
                </c:pt>
                <c:pt idx="5">
                  <c:v>0.14007441453272002</c:v>
                </c:pt>
                <c:pt idx="6">
                  <c:v>-0.46334746688814937</c:v>
                </c:pt>
                <c:pt idx="7">
                  <c:v>0.26788459004877468</c:v>
                </c:pt>
                <c:pt idx="8">
                  <c:v>-0.76646811492644751</c:v>
                </c:pt>
                <c:pt idx="9">
                  <c:v>4.4136469965305302E-3</c:v>
                </c:pt>
                <c:pt idx="10">
                  <c:v>0.37072998499424897</c:v>
                </c:pt>
                <c:pt idx="11">
                  <c:v>0.72552985665292391</c:v>
                </c:pt>
              </c:numCache>
            </c:numRef>
          </c:val>
          <c:smooth val="0"/>
          <c:extLst>
            <c:ext xmlns:c16="http://schemas.microsoft.com/office/drawing/2014/chart" uri="{C3380CC4-5D6E-409C-BE32-E72D297353CC}">
              <c16:uniqueId val="{00000000-76F1-4928-B3EA-DE8D97974299}"/>
            </c:ext>
          </c:extLst>
        </c:ser>
        <c:dLbls>
          <c:dLblPos val="r"/>
          <c:showLegendKey val="0"/>
          <c:showVal val="1"/>
          <c:showCatName val="0"/>
          <c:showSerName val="0"/>
          <c:showPercent val="0"/>
          <c:showBubbleSize val="0"/>
        </c:dLbls>
        <c:smooth val="0"/>
        <c:axId val="586474287"/>
        <c:axId val="579187599"/>
      </c:lineChart>
      <c:catAx>
        <c:axId val="58647428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Month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9187599"/>
        <c:crosses val="autoZero"/>
        <c:auto val="1"/>
        <c:lblAlgn val="ctr"/>
        <c:lblOffset val="100"/>
        <c:noMultiLvlLbl val="0"/>
      </c:catAx>
      <c:valAx>
        <c:axId val="579187599"/>
        <c:scaling>
          <c:orientation val="minMax"/>
        </c:scaling>
        <c:delete val="0"/>
        <c:axPos val="l"/>
        <c:majorGridlines>
          <c:spPr>
            <a:ln w="9525" cap="flat" cmpd="sng" algn="ctr">
              <a:solidFill>
                <a:schemeClr val="accent1"/>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MoM Inflation %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647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Urban Sector Monthly Food Inflation Trend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lotArea>
      <c:layout>
        <c:manualLayout>
          <c:layoutTarget val="inner"/>
          <c:xMode val="edge"/>
          <c:yMode val="edge"/>
          <c:x val="0.15774781277340333"/>
          <c:y val="0.1902314814814815"/>
          <c:w val="0.81725218722659665"/>
          <c:h val="0.70696741032370958"/>
        </c:manualLayout>
      </c:layout>
      <c:lineChart>
        <c:grouping val="standard"/>
        <c:varyColors val="0"/>
        <c:ser>
          <c:idx val="0"/>
          <c:order val="0"/>
          <c:spPr>
            <a:ln w="19050" cap="flat" cmpd="sng" algn="ctr">
              <a:solidFill>
                <a:schemeClr val="accent4">
                  <a:shade val="15000"/>
                </a:schemeClr>
              </a:solidFill>
              <a:prstDash val="solid"/>
              <a:miter lim="800000"/>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'Q3'!$B$4:$B$15</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'Q3'!$F$33:$F$44</c:f>
              <c:numCache>
                <c:formatCode>0.00</c:formatCode>
                <c:ptCount val="12"/>
                <c:pt idx="0">
                  <c:v>1.1183803377243156</c:v>
                </c:pt>
                <c:pt idx="1">
                  <c:v>0.17923497267760408</c:v>
                </c:pt>
                <c:pt idx="2">
                  <c:v>9.1639029499028551E-2</c:v>
                </c:pt>
                <c:pt idx="3">
                  <c:v>0.55369054366309034</c:v>
                </c:pt>
                <c:pt idx="4">
                  <c:v>0.68938605619146376</c:v>
                </c:pt>
                <c:pt idx="5">
                  <c:v>-0.34017999397149157</c:v>
                </c:pt>
                <c:pt idx="6">
                  <c:v>-0.80366401659179632</c:v>
                </c:pt>
                <c:pt idx="7">
                  <c:v>0.62723233731164252</c:v>
                </c:pt>
                <c:pt idx="8">
                  <c:v>-0.30300406891180343</c:v>
                </c:pt>
                <c:pt idx="9">
                  <c:v>8.6835706842833867E-3</c:v>
                </c:pt>
                <c:pt idx="10">
                  <c:v>0.62082139446035967</c:v>
                </c:pt>
                <c:pt idx="11">
                  <c:v>0.75074427233895202</c:v>
                </c:pt>
              </c:numCache>
            </c:numRef>
          </c:val>
          <c:smooth val="0"/>
          <c:extLst>
            <c:ext xmlns:c16="http://schemas.microsoft.com/office/drawing/2014/chart" uri="{C3380CC4-5D6E-409C-BE32-E72D297353CC}">
              <c16:uniqueId val="{00000000-17C5-48FC-8AE3-F8F55494C213}"/>
            </c:ext>
          </c:extLst>
        </c:ser>
        <c:dLbls>
          <c:dLblPos val="r"/>
          <c:showLegendKey val="0"/>
          <c:showVal val="1"/>
          <c:showCatName val="0"/>
          <c:showSerName val="0"/>
          <c:showPercent val="0"/>
          <c:showBubbleSize val="0"/>
        </c:dLbls>
        <c:smooth val="0"/>
        <c:axId val="586474287"/>
        <c:axId val="579187599"/>
      </c:lineChart>
      <c:catAx>
        <c:axId val="58647428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Month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9187599"/>
        <c:crosses val="autoZero"/>
        <c:auto val="1"/>
        <c:lblAlgn val="ctr"/>
        <c:lblOffset val="100"/>
        <c:noMultiLvlLbl val="0"/>
      </c:catAx>
      <c:valAx>
        <c:axId val="579187599"/>
        <c:scaling>
          <c:orientation val="minMax"/>
        </c:scaling>
        <c:delete val="0"/>
        <c:axPos val="l"/>
        <c:majorGridlines>
          <c:spPr>
            <a:ln w="9525" cap="flat" cmpd="sng" algn="ctr">
              <a:solidFill>
                <a:schemeClr val="accent1"/>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MoM Inflation %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647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Rural+Urban Sector Monthly Food Inflation Trend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lotArea>
      <c:layout>
        <c:manualLayout>
          <c:layoutTarget val="inner"/>
          <c:xMode val="edge"/>
          <c:yMode val="edge"/>
          <c:x val="0.15774781277340333"/>
          <c:y val="0.1902314814814815"/>
          <c:w val="0.81725218722659665"/>
          <c:h val="0.70696741032370958"/>
        </c:manualLayout>
      </c:layout>
      <c:lineChart>
        <c:grouping val="standard"/>
        <c:varyColors val="0"/>
        <c:ser>
          <c:idx val="0"/>
          <c:order val="0"/>
          <c:spPr>
            <a:ln w="19050" cap="flat" cmpd="sng" algn="ctr">
              <a:solidFill>
                <a:schemeClr val="accent4">
                  <a:shade val="15000"/>
                </a:schemeClr>
              </a:solidFill>
              <a:prstDash val="solid"/>
              <a:miter lim="800000"/>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'Q3'!$B$4:$B$15</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'Q3'!$F$62:$F$73</c:f>
              <c:numCache>
                <c:formatCode>0.00</c:formatCode>
                <c:ptCount val="12"/>
                <c:pt idx="0">
                  <c:v>1.0272901871454425</c:v>
                </c:pt>
                <c:pt idx="1">
                  <c:v>0.19452672531943327</c:v>
                </c:pt>
                <c:pt idx="2">
                  <c:v>0.12796187618585006</c:v>
                </c:pt>
                <c:pt idx="3">
                  <c:v>0.51560021152829516</c:v>
                </c:pt>
                <c:pt idx="4">
                  <c:v>0.71901442413082706</c:v>
                </c:pt>
                <c:pt idx="5">
                  <c:v>-2.1764680276851682E-2</c:v>
                </c:pt>
                <c:pt idx="6">
                  <c:v>-0.58342041100662179</c:v>
                </c:pt>
                <c:pt idx="7">
                  <c:v>0.40728737847069707</c:v>
                </c:pt>
                <c:pt idx="8">
                  <c:v>-0.59318707201117182</c:v>
                </c:pt>
                <c:pt idx="9">
                  <c:v>4.3876968978992913E-3</c:v>
                </c:pt>
                <c:pt idx="10">
                  <c:v>0.456300456300479</c:v>
                </c:pt>
                <c:pt idx="11">
                  <c:v>0.75559049615652807</c:v>
                </c:pt>
              </c:numCache>
            </c:numRef>
          </c:val>
          <c:smooth val="0"/>
          <c:extLst>
            <c:ext xmlns:c16="http://schemas.microsoft.com/office/drawing/2014/chart" uri="{C3380CC4-5D6E-409C-BE32-E72D297353CC}">
              <c16:uniqueId val="{00000000-D1EC-4013-95A9-9CE2D07EDF3C}"/>
            </c:ext>
          </c:extLst>
        </c:ser>
        <c:dLbls>
          <c:dLblPos val="r"/>
          <c:showLegendKey val="0"/>
          <c:showVal val="1"/>
          <c:showCatName val="0"/>
          <c:showSerName val="0"/>
          <c:showPercent val="0"/>
          <c:showBubbleSize val="0"/>
        </c:dLbls>
        <c:smooth val="0"/>
        <c:axId val="586474287"/>
        <c:axId val="579187599"/>
      </c:lineChart>
      <c:catAx>
        <c:axId val="58647428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Month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9187599"/>
        <c:crosses val="autoZero"/>
        <c:auto val="1"/>
        <c:lblAlgn val="ctr"/>
        <c:lblOffset val="100"/>
        <c:noMultiLvlLbl val="0"/>
      </c:catAx>
      <c:valAx>
        <c:axId val="579187599"/>
        <c:scaling>
          <c:orientation val="minMax"/>
        </c:scaling>
        <c:delete val="0"/>
        <c:axPos val="l"/>
        <c:majorGridlines>
          <c:spPr>
            <a:ln w="9525" cap="flat" cmpd="sng" algn="ctr">
              <a:solidFill>
                <a:schemeClr val="accent1"/>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MoM Inflation %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647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Impact of COVID-19 on Inflation Rates in Urban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lineChart>
        <c:grouping val="standard"/>
        <c:varyColors val="0"/>
        <c:ser>
          <c:idx val="0"/>
          <c:order val="0"/>
          <c:tx>
            <c:strRef>
              <c:f>'Q4'!$D$3</c:f>
              <c:strCache>
                <c:ptCount val="1"/>
                <c:pt idx="0">
                  <c:v>Inflation Rate(Food)</c:v>
                </c:pt>
              </c:strCache>
            </c:strRef>
          </c:tx>
          <c:spPr>
            <a:ln w="28575" cap="rnd">
              <a:solidFill>
                <a:schemeClr val="accent5">
                  <a:lumMod val="75000"/>
                </a:schemeClr>
              </a:solidFill>
              <a:round/>
            </a:ln>
            <a:effectLst/>
          </c:spPr>
          <c:marker>
            <c:symbol val="none"/>
          </c:marker>
          <c:cat>
            <c:numRef>
              <c:f>'Q4'!$A$34:$A$40</c:f>
              <c:numCache>
                <c:formatCode>General</c:formatCode>
                <c:ptCount val="7"/>
                <c:pt idx="0">
                  <c:v>2017</c:v>
                </c:pt>
                <c:pt idx="1">
                  <c:v>2018</c:v>
                </c:pt>
                <c:pt idx="2">
                  <c:v>2019</c:v>
                </c:pt>
                <c:pt idx="3">
                  <c:v>2020</c:v>
                </c:pt>
                <c:pt idx="4">
                  <c:v>2021</c:v>
                </c:pt>
                <c:pt idx="5">
                  <c:v>2022</c:v>
                </c:pt>
                <c:pt idx="6">
                  <c:v>2023</c:v>
                </c:pt>
              </c:numCache>
            </c:numRef>
          </c:cat>
          <c:val>
            <c:numRef>
              <c:f>'Q4'!$D$34:$D$40</c:f>
              <c:numCache>
                <c:formatCode>0.00%</c:formatCode>
                <c:ptCount val="7"/>
                <c:pt idx="0">
                  <c:v>2.2847205564883399E-2</c:v>
                </c:pt>
                <c:pt idx="1">
                  <c:v>5.7454417541187297E-3</c:v>
                </c:pt>
                <c:pt idx="2">
                  <c:v>3.0836490819003304E-2</c:v>
                </c:pt>
                <c:pt idx="3">
                  <c:v>7.3569328206288143E-2</c:v>
                </c:pt>
                <c:pt idx="4">
                  <c:v>8.7437450618909507E-2</c:v>
                </c:pt>
                <c:pt idx="5">
                  <c:v>6.3841123758779705E-2</c:v>
                </c:pt>
                <c:pt idx="6">
                  <c:v>4.8763830077858117E-2</c:v>
                </c:pt>
              </c:numCache>
            </c:numRef>
          </c:val>
          <c:smooth val="0"/>
          <c:extLst>
            <c:ext xmlns:c16="http://schemas.microsoft.com/office/drawing/2014/chart" uri="{C3380CC4-5D6E-409C-BE32-E72D297353CC}">
              <c16:uniqueId val="{00000000-E6F2-4E53-B11F-97421BAC688A}"/>
            </c:ext>
          </c:extLst>
        </c:ser>
        <c:ser>
          <c:idx val="1"/>
          <c:order val="1"/>
          <c:tx>
            <c:strRef>
              <c:f>'Q4'!$F$3</c:f>
              <c:strCache>
                <c:ptCount val="1"/>
                <c:pt idx="0">
                  <c:v>Inflation Rate(Health)</c:v>
                </c:pt>
              </c:strCache>
            </c:strRef>
          </c:tx>
          <c:spPr>
            <a:ln w="28575" cap="rnd">
              <a:solidFill>
                <a:schemeClr val="accent2"/>
              </a:solidFill>
              <a:round/>
            </a:ln>
            <a:effectLst/>
          </c:spPr>
          <c:marker>
            <c:symbol val="none"/>
          </c:marker>
          <c:cat>
            <c:numRef>
              <c:f>'Q4'!$A$34:$A$40</c:f>
              <c:numCache>
                <c:formatCode>General</c:formatCode>
                <c:ptCount val="7"/>
                <c:pt idx="0">
                  <c:v>2017</c:v>
                </c:pt>
                <c:pt idx="1">
                  <c:v>2018</c:v>
                </c:pt>
                <c:pt idx="2">
                  <c:v>2019</c:v>
                </c:pt>
                <c:pt idx="3">
                  <c:v>2020</c:v>
                </c:pt>
                <c:pt idx="4">
                  <c:v>2021</c:v>
                </c:pt>
                <c:pt idx="5">
                  <c:v>2022</c:v>
                </c:pt>
                <c:pt idx="6">
                  <c:v>2023</c:v>
                </c:pt>
              </c:numCache>
            </c:numRef>
          </c:cat>
          <c:val>
            <c:numRef>
              <c:f>'Q4'!$F$34:$F$40</c:f>
              <c:numCache>
                <c:formatCode>0.00%</c:formatCode>
                <c:ptCount val="7"/>
                <c:pt idx="0">
                  <c:v>2.8404344193817765E-2</c:v>
                </c:pt>
                <c:pt idx="1">
                  <c:v>6.0113728675873279E-2</c:v>
                </c:pt>
                <c:pt idx="2">
                  <c:v>6.6666666666666652E-2</c:v>
                </c:pt>
                <c:pt idx="3">
                  <c:v>4.1666666666666741E-2</c:v>
                </c:pt>
                <c:pt idx="4">
                  <c:v>8.2068965517241521E-2</c:v>
                </c:pt>
                <c:pt idx="5">
                  <c:v>7.2020395156150219E-2</c:v>
                </c:pt>
                <c:pt idx="6">
                  <c:v>7.4910820451843163E-2</c:v>
                </c:pt>
              </c:numCache>
            </c:numRef>
          </c:val>
          <c:smooth val="0"/>
          <c:extLst>
            <c:ext xmlns:c16="http://schemas.microsoft.com/office/drawing/2014/chart" uri="{C3380CC4-5D6E-409C-BE32-E72D297353CC}">
              <c16:uniqueId val="{00000001-E6F2-4E53-B11F-97421BAC688A}"/>
            </c:ext>
          </c:extLst>
        </c:ser>
        <c:ser>
          <c:idx val="2"/>
          <c:order val="2"/>
          <c:tx>
            <c:strRef>
              <c:f>'Q4'!$H$3</c:f>
              <c:strCache>
                <c:ptCount val="1"/>
                <c:pt idx="0">
                  <c:v>Inflation Rate(Essential Service)</c:v>
                </c:pt>
              </c:strCache>
            </c:strRef>
          </c:tx>
          <c:spPr>
            <a:ln w="28575" cap="rnd">
              <a:solidFill>
                <a:schemeClr val="accent3"/>
              </a:solidFill>
              <a:round/>
            </a:ln>
            <a:effectLst/>
          </c:spPr>
          <c:marker>
            <c:symbol val="none"/>
          </c:marker>
          <c:cat>
            <c:numRef>
              <c:f>'Q4'!$A$34:$A$40</c:f>
              <c:numCache>
                <c:formatCode>General</c:formatCode>
                <c:ptCount val="7"/>
                <c:pt idx="0">
                  <c:v>2017</c:v>
                </c:pt>
                <c:pt idx="1">
                  <c:v>2018</c:v>
                </c:pt>
                <c:pt idx="2">
                  <c:v>2019</c:v>
                </c:pt>
                <c:pt idx="3">
                  <c:v>2020</c:v>
                </c:pt>
                <c:pt idx="4">
                  <c:v>2021</c:v>
                </c:pt>
                <c:pt idx="5">
                  <c:v>2022</c:v>
                </c:pt>
                <c:pt idx="6">
                  <c:v>2023</c:v>
                </c:pt>
              </c:numCache>
            </c:numRef>
          </c:cat>
          <c:val>
            <c:numRef>
              <c:f>'Q4'!$H$34:$H$40</c:f>
              <c:numCache>
                <c:formatCode>0.00%</c:formatCode>
                <c:ptCount val="7"/>
                <c:pt idx="0">
                  <c:v>4.5454545454545636E-2</c:v>
                </c:pt>
                <c:pt idx="1">
                  <c:v>3.8203324808183892E-2</c:v>
                </c:pt>
                <c:pt idx="2">
                  <c:v>4.0338722093918422E-2</c:v>
                </c:pt>
                <c:pt idx="3">
                  <c:v>4.6322332396033783E-2</c:v>
                </c:pt>
                <c:pt idx="4">
                  <c:v>6.9872701555869776E-2</c:v>
                </c:pt>
                <c:pt idx="5">
                  <c:v>6.7028027498678089E-2</c:v>
                </c:pt>
                <c:pt idx="6">
                  <c:v>7.0871019700160742E-2</c:v>
                </c:pt>
              </c:numCache>
            </c:numRef>
          </c:val>
          <c:smooth val="0"/>
          <c:extLst>
            <c:ext xmlns:c16="http://schemas.microsoft.com/office/drawing/2014/chart" uri="{C3380CC4-5D6E-409C-BE32-E72D297353CC}">
              <c16:uniqueId val="{00000002-E6F2-4E53-B11F-97421BAC688A}"/>
            </c:ext>
          </c:extLst>
        </c:ser>
        <c:dLbls>
          <c:showLegendKey val="0"/>
          <c:showVal val="0"/>
          <c:showCatName val="0"/>
          <c:showSerName val="0"/>
          <c:showPercent val="0"/>
          <c:showBubbleSize val="0"/>
        </c:dLbls>
        <c:smooth val="0"/>
        <c:axId val="1194285200"/>
        <c:axId val="1211012656"/>
      </c:lineChart>
      <c:catAx>
        <c:axId val="1194285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211012656"/>
        <c:crosses val="autoZero"/>
        <c:auto val="1"/>
        <c:lblAlgn val="ctr"/>
        <c:lblOffset val="100"/>
        <c:noMultiLvlLbl val="0"/>
      </c:catAx>
      <c:valAx>
        <c:axId val="1211012656"/>
        <c:scaling>
          <c:orientation val="minMax"/>
        </c:scaling>
        <c:delete val="0"/>
        <c:axPos val="l"/>
        <c:majorGridlines>
          <c:spPr>
            <a:ln w="12700" cap="flat" cmpd="sng" algn="ctr">
              <a:solidFill>
                <a:schemeClr val="tx2">
                  <a:lumMod val="25000"/>
                  <a:lumOff val="75000"/>
                </a:schemeClr>
              </a:solidFill>
              <a:prstDash val="solid"/>
              <a:miter lim="800000"/>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Inflation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1194285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Impact of COVID-19 on Inflation Rates in Rural+Urban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lineChart>
        <c:grouping val="standard"/>
        <c:varyColors val="0"/>
        <c:ser>
          <c:idx val="0"/>
          <c:order val="0"/>
          <c:tx>
            <c:strRef>
              <c:f>'Q4'!$D$3</c:f>
              <c:strCache>
                <c:ptCount val="1"/>
                <c:pt idx="0">
                  <c:v>Inflation Rate(Food)</c:v>
                </c:pt>
              </c:strCache>
            </c:strRef>
          </c:tx>
          <c:spPr>
            <a:ln w="28575" cap="rnd">
              <a:solidFill>
                <a:schemeClr val="accent5">
                  <a:lumMod val="75000"/>
                </a:schemeClr>
              </a:solidFill>
              <a:round/>
            </a:ln>
            <a:effectLst/>
          </c:spPr>
          <c:marker>
            <c:symbol val="none"/>
          </c:marker>
          <c:cat>
            <c:numRef>
              <c:f>'Q4'!$A$63:$A$69</c:f>
              <c:numCache>
                <c:formatCode>General</c:formatCode>
                <c:ptCount val="7"/>
                <c:pt idx="0">
                  <c:v>2017</c:v>
                </c:pt>
                <c:pt idx="1">
                  <c:v>2018</c:v>
                </c:pt>
                <c:pt idx="2">
                  <c:v>2019</c:v>
                </c:pt>
                <c:pt idx="3">
                  <c:v>2020</c:v>
                </c:pt>
                <c:pt idx="4">
                  <c:v>2021</c:v>
                </c:pt>
                <c:pt idx="5">
                  <c:v>2022</c:v>
                </c:pt>
                <c:pt idx="6">
                  <c:v>2023</c:v>
                </c:pt>
              </c:numCache>
            </c:numRef>
          </c:cat>
          <c:val>
            <c:numRef>
              <c:f>'Q4'!$D$63:$D$69</c:f>
              <c:numCache>
                <c:formatCode>0.00%</c:formatCode>
                <c:ptCount val="7"/>
                <c:pt idx="0">
                  <c:v>2.6086437440305588E-2</c:v>
                </c:pt>
                <c:pt idx="1">
                  <c:v>2.1583570888358716E-2</c:v>
                </c:pt>
                <c:pt idx="2">
                  <c:v>3.9293849658315061E-3</c:v>
                </c:pt>
                <c:pt idx="3">
                  <c:v>7.5160247319757234E-2</c:v>
                </c:pt>
                <c:pt idx="4">
                  <c:v>7.5973409306742568E-2</c:v>
                </c:pt>
                <c:pt idx="5">
                  <c:v>7.1001274884770149E-2</c:v>
                </c:pt>
                <c:pt idx="6">
                  <c:v>4.3494185514146855E-2</c:v>
                </c:pt>
              </c:numCache>
            </c:numRef>
          </c:val>
          <c:smooth val="0"/>
          <c:extLst>
            <c:ext xmlns:c16="http://schemas.microsoft.com/office/drawing/2014/chart" uri="{C3380CC4-5D6E-409C-BE32-E72D297353CC}">
              <c16:uniqueId val="{00000000-9EEF-45B3-B75D-753748012FD7}"/>
            </c:ext>
          </c:extLst>
        </c:ser>
        <c:ser>
          <c:idx val="1"/>
          <c:order val="1"/>
          <c:tx>
            <c:strRef>
              <c:f>'Q4'!$F$3</c:f>
              <c:strCache>
                <c:ptCount val="1"/>
                <c:pt idx="0">
                  <c:v>Inflation Rate(Health)</c:v>
                </c:pt>
              </c:strCache>
            </c:strRef>
          </c:tx>
          <c:spPr>
            <a:ln w="28575" cap="rnd">
              <a:solidFill>
                <a:schemeClr val="accent2"/>
              </a:solidFill>
              <a:round/>
            </a:ln>
            <a:effectLst/>
          </c:spPr>
          <c:marker>
            <c:symbol val="none"/>
          </c:marker>
          <c:cat>
            <c:numRef>
              <c:f>'Q4'!$A$63:$A$69</c:f>
              <c:numCache>
                <c:formatCode>General</c:formatCode>
                <c:ptCount val="7"/>
                <c:pt idx="0">
                  <c:v>2017</c:v>
                </c:pt>
                <c:pt idx="1">
                  <c:v>2018</c:v>
                </c:pt>
                <c:pt idx="2">
                  <c:v>2019</c:v>
                </c:pt>
                <c:pt idx="3">
                  <c:v>2020</c:v>
                </c:pt>
                <c:pt idx="4">
                  <c:v>2021</c:v>
                </c:pt>
                <c:pt idx="5">
                  <c:v>2022</c:v>
                </c:pt>
                <c:pt idx="6">
                  <c:v>2023</c:v>
                </c:pt>
              </c:numCache>
            </c:numRef>
          </c:cat>
          <c:val>
            <c:numRef>
              <c:f>'Q4'!$F$63:$F$69</c:f>
              <c:numCache>
                <c:formatCode>0.00%</c:formatCode>
                <c:ptCount val="7"/>
                <c:pt idx="0">
                  <c:v>3.9869812855980458E-2</c:v>
                </c:pt>
                <c:pt idx="1">
                  <c:v>5.0860719874804561E-2</c:v>
                </c:pt>
                <c:pt idx="2">
                  <c:v>8.8607594936708667E-2</c:v>
                </c:pt>
                <c:pt idx="3">
                  <c:v>4.1723666210670363E-2</c:v>
                </c:pt>
                <c:pt idx="4">
                  <c:v>6.1720288903479803E-2</c:v>
                </c:pt>
                <c:pt idx="5">
                  <c:v>6.9882498453927022E-2</c:v>
                </c:pt>
                <c:pt idx="6">
                  <c:v>6.5895953757225456E-2</c:v>
                </c:pt>
              </c:numCache>
            </c:numRef>
          </c:val>
          <c:smooth val="0"/>
          <c:extLst>
            <c:ext xmlns:c16="http://schemas.microsoft.com/office/drawing/2014/chart" uri="{C3380CC4-5D6E-409C-BE32-E72D297353CC}">
              <c16:uniqueId val="{00000001-9EEF-45B3-B75D-753748012FD7}"/>
            </c:ext>
          </c:extLst>
        </c:ser>
        <c:ser>
          <c:idx val="2"/>
          <c:order val="2"/>
          <c:tx>
            <c:strRef>
              <c:f>'Q4'!$H$3</c:f>
              <c:strCache>
                <c:ptCount val="1"/>
                <c:pt idx="0">
                  <c:v>Inflation Rate(Essential Service)</c:v>
                </c:pt>
              </c:strCache>
            </c:strRef>
          </c:tx>
          <c:spPr>
            <a:ln w="28575" cap="rnd">
              <a:solidFill>
                <a:schemeClr val="accent3"/>
              </a:solidFill>
              <a:round/>
            </a:ln>
            <a:effectLst/>
          </c:spPr>
          <c:marker>
            <c:symbol val="none"/>
          </c:marker>
          <c:cat>
            <c:numRef>
              <c:f>'Q4'!$A$63:$A$69</c:f>
              <c:numCache>
                <c:formatCode>General</c:formatCode>
                <c:ptCount val="7"/>
                <c:pt idx="0">
                  <c:v>2017</c:v>
                </c:pt>
                <c:pt idx="1">
                  <c:v>2018</c:v>
                </c:pt>
                <c:pt idx="2">
                  <c:v>2019</c:v>
                </c:pt>
                <c:pt idx="3">
                  <c:v>2020</c:v>
                </c:pt>
                <c:pt idx="4">
                  <c:v>2021</c:v>
                </c:pt>
                <c:pt idx="5">
                  <c:v>2022</c:v>
                </c:pt>
                <c:pt idx="6">
                  <c:v>2023</c:v>
                </c:pt>
              </c:numCache>
            </c:numRef>
          </c:cat>
          <c:val>
            <c:numRef>
              <c:f>'Q4'!$H$63:$H$69</c:f>
              <c:numCache>
                <c:formatCode>0.00%</c:formatCode>
                <c:ptCount val="7"/>
                <c:pt idx="0">
                  <c:v>5.0762244566980419E-2</c:v>
                </c:pt>
                <c:pt idx="1">
                  <c:v>4.5223028245099384E-2</c:v>
                </c:pt>
                <c:pt idx="2">
                  <c:v>4.297105729474282E-2</c:v>
                </c:pt>
                <c:pt idx="3">
                  <c:v>3.7094718957950024E-2</c:v>
                </c:pt>
                <c:pt idx="4">
                  <c:v>5.2423208191126447E-2</c:v>
                </c:pt>
                <c:pt idx="5">
                  <c:v>7.1474899468153996E-2</c:v>
                </c:pt>
                <c:pt idx="6">
                  <c:v>6.7070217917675645E-2</c:v>
                </c:pt>
              </c:numCache>
            </c:numRef>
          </c:val>
          <c:smooth val="0"/>
          <c:extLst>
            <c:ext xmlns:c16="http://schemas.microsoft.com/office/drawing/2014/chart" uri="{C3380CC4-5D6E-409C-BE32-E72D297353CC}">
              <c16:uniqueId val="{00000002-9EEF-45B3-B75D-753748012FD7}"/>
            </c:ext>
          </c:extLst>
        </c:ser>
        <c:dLbls>
          <c:showLegendKey val="0"/>
          <c:showVal val="0"/>
          <c:showCatName val="0"/>
          <c:showSerName val="0"/>
          <c:showPercent val="0"/>
          <c:showBubbleSize val="0"/>
        </c:dLbls>
        <c:smooth val="0"/>
        <c:axId val="1194285200"/>
        <c:axId val="1211012656"/>
      </c:lineChart>
      <c:catAx>
        <c:axId val="1194285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211012656"/>
        <c:crosses val="autoZero"/>
        <c:auto val="1"/>
        <c:lblAlgn val="ctr"/>
        <c:lblOffset val="100"/>
        <c:noMultiLvlLbl val="0"/>
      </c:catAx>
      <c:valAx>
        <c:axId val="1211012656"/>
        <c:scaling>
          <c:orientation val="minMax"/>
        </c:scaling>
        <c:delete val="0"/>
        <c:axPos val="l"/>
        <c:majorGridlines>
          <c:spPr>
            <a:ln w="12700" cap="flat" cmpd="sng" algn="ctr">
              <a:solidFill>
                <a:schemeClr val="tx2">
                  <a:lumMod val="25000"/>
                  <a:lumOff val="75000"/>
                </a:schemeClr>
              </a:solidFill>
              <a:prstDash val="solid"/>
              <a:miter lim="800000"/>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Inflation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1194285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Impact of COVID-19 on Inflation Rates in Urban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lineChart>
        <c:grouping val="standard"/>
        <c:varyColors val="0"/>
        <c:ser>
          <c:idx val="0"/>
          <c:order val="0"/>
          <c:tx>
            <c:strRef>
              <c:f>'Q4'!$D$3</c:f>
              <c:strCache>
                <c:ptCount val="1"/>
                <c:pt idx="0">
                  <c:v>Inflation Rate(Food)</c:v>
                </c:pt>
              </c:strCache>
            </c:strRef>
          </c:tx>
          <c:spPr>
            <a:ln w="28575" cap="rnd">
              <a:solidFill>
                <a:schemeClr val="accent5">
                  <a:lumMod val="75000"/>
                </a:schemeClr>
              </a:solidFill>
              <a:round/>
            </a:ln>
            <a:effectLst/>
          </c:spPr>
          <c:marker>
            <c:symbol val="none"/>
          </c:marker>
          <c:cat>
            <c:numRef>
              <c:f>'Q4'!$A$5:$A$11</c:f>
              <c:numCache>
                <c:formatCode>General</c:formatCode>
                <c:ptCount val="7"/>
                <c:pt idx="0">
                  <c:v>2017</c:v>
                </c:pt>
                <c:pt idx="1">
                  <c:v>2018</c:v>
                </c:pt>
                <c:pt idx="2">
                  <c:v>2019</c:v>
                </c:pt>
                <c:pt idx="3">
                  <c:v>2020</c:v>
                </c:pt>
                <c:pt idx="4">
                  <c:v>2021</c:v>
                </c:pt>
                <c:pt idx="5">
                  <c:v>2022</c:v>
                </c:pt>
                <c:pt idx="6">
                  <c:v>2023</c:v>
                </c:pt>
              </c:numCache>
            </c:numRef>
          </c:cat>
          <c:val>
            <c:numRef>
              <c:f>'Q4'!$D$5:$D$11</c:f>
              <c:numCache>
                <c:formatCode>0.00%</c:formatCode>
                <c:ptCount val="7"/>
                <c:pt idx="0">
                  <c:v>2.7218161288405263E-2</c:v>
                </c:pt>
                <c:pt idx="1">
                  <c:v>3.0951692218686544E-2</c:v>
                </c:pt>
                <c:pt idx="2">
                  <c:v>-1.1672278338944686E-2</c:v>
                </c:pt>
                <c:pt idx="3">
                  <c:v>7.5743811037928266E-2</c:v>
                </c:pt>
                <c:pt idx="4">
                  <c:v>6.9196664203525993E-2</c:v>
                </c:pt>
                <c:pt idx="5">
                  <c:v>7.5726909216567329E-2</c:v>
                </c:pt>
                <c:pt idx="6">
                  <c:v>3.9787068055619157E-2</c:v>
                </c:pt>
              </c:numCache>
            </c:numRef>
          </c:val>
          <c:smooth val="0"/>
          <c:extLst>
            <c:ext xmlns:c16="http://schemas.microsoft.com/office/drawing/2014/chart" uri="{C3380CC4-5D6E-409C-BE32-E72D297353CC}">
              <c16:uniqueId val="{00000000-C327-4390-BF7A-B51444A828BA}"/>
            </c:ext>
          </c:extLst>
        </c:ser>
        <c:ser>
          <c:idx val="1"/>
          <c:order val="1"/>
          <c:tx>
            <c:strRef>
              <c:f>'Q4'!$F$3</c:f>
              <c:strCache>
                <c:ptCount val="1"/>
                <c:pt idx="0">
                  <c:v>Inflation Rate(Health)</c:v>
                </c:pt>
              </c:strCache>
            </c:strRef>
          </c:tx>
          <c:spPr>
            <a:ln w="28575" cap="rnd">
              <a:solidFill>
                <a:schemeClr val="accent2"/>
              </a:solidFill>
              <a:round/>
            </a:ln>
            <a:effectLst/>
          </c:spPr>
          <c:marker>
            <c:symbol val="none"/>
          </c:marker>
          <c:cat>
            <c:numRef>
              <c:f>'Q4'!$A$5:$A$11</c:f>
              <c:numCache>
                <c:formatCode>General</c:formatCode>
                <c:ptCount val="7"/>
                <c:pt idx="0">
                  <c:v>2017</c:v>
                </c:pt>
                <c:pt idx="1">
                  <c:v>2018</c:v>
                </c:pt>
                <c:pt idx="2">
                  <c:v>2019</c:v>
                </c:pt>
                <c:pt idx="3">
                  <c:v>2020</c:v>
                </c:pt>
                <c:pt idx="4">
                  <c:v>2021</c:v>
                </c:pt>
                <c:pt idx="5">
                  <c:v>2022</c:v>
                </c:pt>
                <c:pt idx="6">
                  <c:v>2023</c:v>
                </c:pt>
              </c:numCache>
            </c:numRef>
          </c:cat>
          <c:val>
            <c:numRef>
              <c:f>'Q4'!$F$5:$F$11</c:f>
              <c:numCache>
                <c:formatCode>0.00%</c:formatCode>
                <c:ptCount val="7"/>
                <c:pt idx="0">
                  <c:v>4.6474358974359031E-2</c:v>
                </c:pt>
                <c:pt idx="1">
                  <c:v>4.6707503828483876E-2</c:v>
                </c:pt>
                <c:pt idx="2">
                  <c:v>0.10021945866861759</c:v>
                </c:pt>
                <c:pt idx="3">
                  <c:v>4.1888297872340274E-2</c:v>
                </c:pt>
                <c:pt idx="4">
                  <c:v>5.0414805360561532E-2</c:v>
                </c:pt>
                <c:pt idx="5">
                  <c:v>6.925880923450789E-2</c:v>
                </c:pt>
                <c:pt idx="6">
                  <c:v>6.0227272727272796E-2</c:v>
                </c:pt>
              </c:numCache>
            </c:numRef>
          </c:val>
          <c:smooth val="0"/>
          <c:extLst>
            <c:ext xmlns:c16="http://schemas.microsoft.com/office/drawing/2014/chart" uri="{C3380CC4-5D6E-409C-BE32-E72D297353CC}">
              <c16:uniqueId val="{00000001-C327-4390-BF7A-B51444A828BA}"/>
            </c:ext>
          </c:extLst>
        </c:ser>
        <c:ser>
          <c:idx val="2"/>
          <c:order val="2"/>
          <c:tx>
            <c:strRef>
              <c:f>'Q4'!$H$3</c:f>
              <c:strCache>
                <c:ptCount val="1"/>
                <c:pt idx="0">
                  <c:v>Inflation Rate(Essential Service)</c:v>
                </c:pt>
              </c:strCache>
            </c:strRef>
          </c:tx>
          <c:spPr>
            <a:ln w="28575" cap="rnd">
              <a:solidFill>
                <a:schemeClr val="accent3"/>
              </a:solidFill>
              <a:round/>
            </a:ln>
            <a:effectLst/>
          </c:spPr>
          <c:marker>
            <c:symbol val="none"/>
          </c:marker>
          <c:cat>
            <c:numRef>
              <c:f>'Q4'!$A$5:$A$11</c:f>
              <c:numCache>
                <c:formatCode>General</c:formatCode>
                <c:ptCount val="7"/>
                <c:pt idx="0">
                  <c:v>2017</c:v>
                </c:pt>
                <c:pt idx="1">
                  <c:v>2018</c:v>
                </c:pt>
                <c:pt idx="2">
                  <c:v>2019</c:v>
                </c:pt>
                <c:pt idx="3">
                  <c:v>2020</c:v>
                </c:pt>
                <c:pt idx="4">
                  <c:v>2021</c:v>
                </c:pt>
                <c:pt idx="5">
                  <c:v>2022</c:v>
                </c:pt>
                <c:pt idx="6">
                  <c:v>2023</c:v>
                </c:pt>
              </c:numCache>
            </c:numRef>
          </c:cat>
          <c:val>
            <c:numRef>
              <c:f>'Q4'!$H$5:$H$11</c:f>
              <c:numCache>
                <c:formatCode>0.00%</c:formatCode>
                <c:ptCount val="7"/>
                <c:pt idx="0">
                  <c:v>5.5061885115836207E-2</c:v>
                </c:pt>
                <c:pt idx="1">
                  <c:v>5.1285907655286733E-2</c:v>
                </c:pt>
                <c:pt idx="2">
                  <c:v>4.8068669527897123E-2</c:v>
                </c:pt>
                <c:pt idx="3">
                  <c:v>3.0985530985530918E-2</c:v>
                </c:pt>
                <c:pt idx="4">
                  <c:v>3.9984112273268924E-2</c:v>
                </c:pt>
                <c:pt idx="5">
                  <c:v>7.3711012094207495E-2</c:v>
                </c:pt>
                <c:pt idx="6">
                  <c:v>6.4145126867441338E-2</c:v>
                </c:pt>
              </c:numCache>
            </c:numRef>
          </c:val>
          <c:smooth val="0"/>
          <c:extLst>
            <c:ext xmlns:c16="http://schemas.microsoft.com/office/drawing/2014/chart" uri="{C3380CC4-5D6E-409C-BE32-E72D297353CC}">
              <c16:uniqueId val="{00000002-C327-4390-BF7A-B51444A828BA}"/>
            </c:ext>
          </c:extLst>
        </c:ser>
        <c:dLbls>
          <c:showLegendKey val="0"/>
          <c:showVal val="0"/>
          <c:showCatName val="0"/>
          <c:showSerName val="0"/>
          <c:showPercent val="0"/>
          <c:showBubbleSize val="0"/>
        </c:dLbls>
        <c:smooth val="0"/>
        <c:axId val="1194285200"/>
        <c:axId val="1211012656"/>
      </c:lineChart>
      <c:catAx>
        <c:axId val="1194285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211012656"/>
        <c:crosses val="autoZero"/>
        <c:auto val="1"/>
        <c:lblAlgn val="ctr"/>
        <c:lblOffset val="100"/>
        <c:noMultiLvlLbl val="0"/>
      </c:catAx>
      <c:valAx>
        <c:axId val="1211012656"/>
        <c:scaling>
          <c:orientation val="minMax"/>
        </c:scaling>
        <c:delete val="0"/>
        <c:axPos val="l"/>
        <c:majorGridlines>
          <c:spPr>
            <a:ln w="12700" cap="flat" cmpd="sng" algn="ctr">
              <a:solidFill>
                <a:schemeClr val="tx2">
                  <a:lumMod val="25000"/>
                  <a:lumOff val="75000"/>
                </a:schemeClr>
              </a:solidFill>
              <a:prstDash val="solid"/>
              <a:miter lim="800000"/>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Inflation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1194285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30619</xdr:colOff>
      <xdr:row>0</xdr:row>
      <xdr:rowOff>17721</xdr:rowOff>
    </xdr:from>
    <xdr:to>
      <xdr:col>17</xdr:col>
      <xdr:colOff>352624</xdr:colOff>
      <xdr:row>21</xdr:row>
      <xdr:rowOff>95108</xdr:rowOff>
    </xdr:to>
    <xdr:graphicFrame macro="">
      <xdr:nvGraphicFramePr>
        <xdr:cNvPr id="5" name="Chart 4">
          <a:extLst>
            <a:ext uri="{FF2B5EF4-FFF2-40B4-BE49-F238E27FC236}">
              <a16:creationId xmlns:a16="http://schemas.microsoft.com/office/drawing/2014/main" id="{45630F4D-BF2F-22E2-67C2-955383EEF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394447</xdr:colOff>
      <xdr:row>0</xdr:row>
      <xdr:rowOff>35860</xdr:rowOff>
    </xdr:from>
    <xdr:to>
      <xdr:col>22</xdr:col>
      <xdr:colOff>475129</xdr:colOff>
      <xdr:row>30</xdr:row>
      <xdr:rowOff>162395</xdr:rowOff>
    </xdr:to>
    <xdr:sp macro="" textlink="">
      <xdr:nvSpPr>
        <xdr:cNvPr id="6" name="TextBox 5">
          <a:extLst>
            <a:ext uri="{FF2B5EF4-FFF2-40B4-BE49-F238E27FC236}">
              <a16:creationId xmlns:a16="http://schemas.microsoft.com/office/drawing/2014/main" id="{EB40C34D-FB0D-52AC-1944-E23E7993B6EA}"/>
            </a:ext>
          </a:extLst>
        </xdr:cNvPr>
        <xdr:cNvSpPr txBox="1"/>
      </xdr:nvSpPr>
      <xdr:spPr>
        <a:xfrm>
          <a:off x="13448381" y="35860"/>
          <a:ext cx="3141174" cy="5760338"/>
        </a:xfrm>
        <a:prstGeom prst="rect">
          <a:avLst/>
        </a:prstGeom>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l"/>
          <a:r>
            <a:rPr lang="en-IN" sz="1600"/>
            <a:t>                               </a:t>
          </a:r>
          <a:r>
            <a:rPr lang="en-IN" sz="1600" b="1" u="dbl"/>
            <a:t>THEORY</a:t>
          </a:r>
          <a:br>
            <a:rPr lang="en-IN" sz="1600"/>
          </a:br>
          <a:r>
            <a:rPr lang="en-IN" sz="1600"/>
            <a:t>            </a:t>
          </a:r>
          <a:r>
            <a:rPr lang="en-IN" sz="1600" b="1" u="sng"/>
            <a:t>CPI Contribution Analysis</a:t>
          </a:r>
          <a:br>
            <a:rPr lang="en-IN" sz="1600"/>
          </a:br>
          <a:r>
            <a:rPr lang="en-IN" sz="1400"/>
            <a:t>This analysis focuses on identifying the contribution of different broader categories towards the Consumer Price Index (CPI) for the Rural Sector using the latest available month’s data. The individual product categories are grouped into broader categories such as Food and Beverages, Clothing and Footwear, Housing, Fuel and Light, Health, Education, and Miscellaneous. The CPI values within each broader category are summed to calculate the category-level CPI contribution. The contribution percentage of each broader category is then calculated against the total CPI value. The analysis shows that </a:t>
          </a:r>
          <a:r>
            <a:rPr lang="en-IN" sz="1400" b="1"/>
            <a:t>Food and Beverages has the highest contribution of 50.92%</a:t>
          </a:r>
          <a:r>
            <a:rPr lang="en-IN" sz="1400"/>
            <a:t>, followed by </a:t>
          </a:r>
          <a:r>
            <a:rPr lang="en-IN" sz="1400" b="1"/>
            <a:t>Clothing and Footwear at 12.67%</a:t>
          </a:r>
          <a:r>
            <a:rPr lang="en-IN" sz="1400"/>
            <a:t> and </a:t>
          </a:r>
          <a:r>
            <a:rPr lang="en-IN" sz="1400" b="1"/>
            <a:t>Miscellaneous at 8.10%</a:t>
          </a:r>
          <a:r>
            <a:rPr lang="en-IN" sz="1400"/>
            <a:t>. The contribution percentages of all broader categories together add up to </a:t>
          </a:r>
          <a:r>
            <a:rPr lang="en-IN" sz="1400" b="1"/>
            <a:t>100%</a:t>
          </a:r>
          <a:r>
            <a:rPr lang="en-IN" sz="1400"/>
            <a:t>, representing the complete CPI contribution.</a:t>
          </a:r>
          <a:r>
            <a:rPr lang="en-IN" sz="1400" baseline="0"/>
            <a:t>         </a:t>
          </a:r>
          <a:br>
            <a:rPr lang="en-IN" sz="1600"/>
          </a:br>
          <a:endParaRPr lang="en-IN" sz="1100"/>
        </a:p>
      </xdr:txBody>
    </xdr:sp>
    <xdr:clientData/>
  </xdr:twoCellAnchor>
  <xdr:twoCellAnchor>
    <xdr:from>
      <xdr:col>8</xdr:col>
      <xdr:colOff>27542</xdr:colOff>
      <xdr:row>33</xdr:row>
      <xdr:rowOff>0</xdr:rowOff>
    </xdr:from>
    <xdr:to>
      <xdr:col>17</xdr:col>
      <xdr:colOff>349547</xdr:colOff>
      <xdr:row>54</xdr:row>
      <xdr:rowOff>63909</xdr:rowOff>
    </xdr:to>
    <xdr:graphicFrame macro="">
      <xdr:nvGraphicFramePr>
        <xdr:cNvPr id="9" name="Chart 8">
          <a:extLst>
            <a:ext uri="{FF2B5EF4-FFF2-40B4-BE49-F238E27FC236}">
              <a16:creationId xmlns:a16="http://schemas.microsoft.com/office/drawing/2014/main" id="{1A6A6B69-ADF7-46E1-8473-CED676294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385591</xdr:colOff>
      <xdr:row>33</xdr:row>
      <xdr:rowOff>9180</xdr:rowOff>
    </xdr:from>
    <xdr:to>
      <xdr:col>22</xdr:col>
      <xdr:colOff>486578</xdr:colOff>
      <xdr:row>63</xdr:row>
      <xdr:rowOff>174434</xdr:rowOff>
    </xdr:to>
    <xdr:sp macro="" textlink="">
      <xdr:nvSpPr>
        <xdr:cNvPr id="10" name="TextBox 9">
          <a:extLst>
            <a:ext uri="{FF2B5EF4-FFF2-40B4-BE49-F238E27FC236}">
              <a16:creationId xmlns:a16="http://schemas.microsoft.com/office/drawing/2014/main" id="{E3D39C69-E07F-428E-E386-8C73A095D6AB}"/>
            </a:ext>
          </a:extLst>
        </xdr:cNvPr>
        <xdr:cNvSpPr txBox="1"/>
      </xdr:nvSpPr>
      <xdr:spPr>
        <a:xfrm>
          <a:off x="13357952" y="6086819"/>
          <a:ext cx="3130626" cy="5719591"/>
        </a:xfrm>
        <a:prstGeom prst="rect">
          <a:avLst/>
        </a:prstGeom>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100"/>
            <a:t>                                          </a:t>
          </a:r>
          <a:r>
            <a:rPr lang="en-IN" sz="1600" b="1" u="dbl">
              <a:solidFill>
                <a:schemeClr val="dk1"/>
              </a:solidFill>
              <a:effectLst/>
              <a:latin typeface="+mn-lt"/>
              <a:ea typeface="+mn-ea"/>
              <a:cs typeface="+mn-cs"/>
            </a:rPr>
            <a:t>THEORY</a:t>
          </a:r>
          <a:br>
            <a:rPr lang="en-IN" sz="1600">
              <a:solidFill>
                <a:schemeClr val="dk1"/>
              </a:solidFill>
              <a:effectLst/>
              <a:latin typeface="+mn-lt"/>
              <a:ea typeface="+mn-ea"/>
              <a:cs typeface="+mn-cs"/>
            </a:rPr>
          </a:br>
          <a:r>
            <a:rPr lang="en-IN" sz="1600">
              <a:solidFill>
                <a:schemeClr val="dk1"/>
              </a:solidFill>
              <a:effectLst/>
              <a:latin typeface="+mn-lt"/>
              <a:ea typeface="+mn-ea"/>
              <a:cs typeface="+mn-cs"/>
            </a:rPr>
            <a:t>          </a:t>
          </a:r>
          <a:r>
            <a:rPr lang="en-IN" sz="1600" b="1" u="sng">
              <a:solidFill>
                <a:schemeClr val="dk1"/>
              </a:solidFill>
              <a:effectLst/>
              <a:latin typeface="+mn-lt"/>
              <a:ea typeface="+mn-ea"/>
              <a:cs typeface="+mn-cs"/>
            </a:rPr>
            <a:t>CPI Contribution Analysis</a:t>
          </a:r>
          <a:r>
            <a:rPr lang="en-IN" sz="1600"/>
            <a:t> </a:t>
          </a:r>
          <a:br>
            <a:rPr lang="en-IN" sz="1600"/>
          </a:br>
          <a:r>
            <a:rPr lang="en-IN" sz="1400"/>
            <a:t>This analysis presents the </a:t>
          </a:r>
          <a:r>
            <a:rPr lang="en-IN" sz="1400" b="1"/>
            <a:t>CPI contribution of different categories in the Urban Sector for May 2023</a:t>
          </a:r>
          <a:r>
            <a:rPr lang="en-IN" sz="1400"/>
            <a:t>. The CPI values of individual product types are grouped into broader categories to understand their contribution to the overall CPI basket. The contribution percentage of each category is calculated against the </a:t>
          </a:r>
          <a:r>
            <a:rPr lang="en-IN" sz="1400" b="1"/>
            <a:t>total selected CPI value of 4,640.9</a:t>
          </a:r>
          <a:r>
            <a:rPr lang="en-IN" sz="1400"/>
            <a:t>.</a:t>
          </a:r>
        </a:p>
        <a:p>
          <a:r>
            <a:rPr lang="en-IN" sz="1400"/>
            <a:t>The analysis shows that </a:t>
          </a:r>
          <a:r>
            <a:rPr lang="en-IN" sz="1400" b="1"/>
            <a:t>Food and Beverages</a:t>
          </a:r>
          <a:r>
            <a:rPr lang="en-IN" sz="1400"/>
            <a:t> has the highest contribution at </a:t>
          </a:r>
          <a:r>
            <a:rPr lang="en-IN" sz="1400" b="1"/>
            <a:t>50.32%</a:t>
          </a:r>
          <a:r>
            <a:rPr lang="en-IN" sz="1400"/>
            <a:t>, followed by </a:t>
          </a:r>
          <a:r>
            <a:rPr lang="en-IN" sz="1400" b="1"/>
            <a:t>Clothing and Footwear at 11.39%</a:t>
          </a:r>
          <a:r>
            <a:rPr lang="en-IN" sz="1400"/>
            <a:t> and </a:t>
          </a:r>
          <a:r>
            <a:rPr lang="en-IN" sz="1400" b="1"/>
            <a:t>Miscellaneous at 7.70%</a:t>
          </a:r>
          <a:r>
            <a:rPr lang="en-IN" sz="1400"/>
            <a:t>. Other categories, including Housing, Fuel and Light, Health, Education, and Transport and Communication, contribute smaller shares. Overall, all selected categories together account for </a:t>
          </a:r>
          <a:r>
            <a:rPr lang="en-IN" sz="1400" b="1"/>
            <a:t>100% of the total contribution</a:t>
          </a:r>
          <a:r>
            <a:rPr lang="en-IN" sz="1400"/>
            <a:t>, providing a clear picture of the category-wise CPI contribution in the </a:t>
          </a:r>
          <a:r>
            <a:rPr lang="en-IN" sz="1400" b="1"/>
            <a:t>Urban Sector for May 2023</a:t>
          </a:r>
          <a:r>
            <a:rPr lang="en-IN" sz="1400"/>
            <a:t>.</a:t>
          </a:r>
        </a:p>
        <a:p>
          <a:br>
            <a:rPr lang="en-IN" sz="1600"/>
          </a:br>
          <a:r>
            <a:rPr lang="en-IN" sz="1600"/>
            <a:t>                                                                                    </a:t>
          </a:r>
          <a:endParaRPr lang="en-IN" sz="1100"/>
        </a:p>
      </xdr:txBody>
    </xdr:sp>
    <xdr:clientData/>
  </xdr:twoCellAnchor>
  <xdr:twoCellAnchor>
    <xdr:from>
      <xdr:col>8</xdr:col>
      <xdr:colOff>17517</xdr:colOff>
      <xdr:row>65</xdr:row>
      <xdr:rowOff>183930</xdr:rowOff>
    </xdr:from>
    <xdr:to>
      <xdr:col>17</xdr:col>
      <xdr:colOff>339522</xdr:colOff>
      <xdr:row>87</xdr:row>
      <xdr:rowOff>63909</xdr:rowOff>
    </xdr:to>
    <xdr:graphicFrame macro="">
      <xdr:nvGraphicFramePr>
        <xdr:cNvPr id="2" name="Chart 1">
          <a:extLst>
            <a:ext uri="{FF2B5EF4-FFF2-40B4-BE49-F238E27FC236}">
              <a16:creationId xmlns:a16="http://schemas.microsoft.com/office/drawing/2014/main" id="{BECF3883-3286-46D3-B2C0-31404D918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381000</xdr:colOff>
      <xdr:row>66</xdr:row>
      <xdr:rowOff>9071</xdr:rowOff>
    </xdr:from>
    <xdr:to>
      <xdr:col>22</xdr:col>
      <xdr:colOff>489857</xdr:colOff>
      <xdr:row>100</xdr:row>
      <xdr:rowOff>154213</xdr:rowOff>
    </xdr:to>
    <xdr:sp macro="" textlink="">
      <xdr:nvSpPr>
        <xdr:cNvPr id="3" name="TextBox 2">
          <a:extLst>
            <a:ext uri="{FF2B5EF4-FFF2-40B4-BE49-F238E27FC236}">
              <a16:creationId xmlns:a16="http://schemas.microsoft.com/office/drawing/2014/main" id="{18F05A36-2394-72C9-02A8-787FC6224EDC}"/>
            </a:ext>
          </a:extLst>
        </xdr:cNvPr>
        <xdr:cNvSpPr txBox="1"/>
      </xdr:nvSpPr>
      <xdr:spPr>
        <a:xfrm>
          <a:off x="13380357" y="12055928"/>
          <a:ext cx="3147786" cy="6359071"/>
        </a:xfrm>
        <a:prstGeom prst="rect">
          <a:avLst/>
        </a:prstGeom>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600">
              <a:solidFill>
                <a:schemeClr val="dk1"/>
              </a:solidFill>
              <a:effectLst/>
              <a:latin typeface="+mn-lt"/>
              <a:ea typeface="+mn-ea"/>
              <a:cs typeface="+mn-cs"/>
            </a:rPr>
            <a:t>                           </a:t>
          </a:r>
          <a:r>
            <a:rPr lang="en-IN" sz="1600" baseline="0">
              <a:solidFill>
                <a:schemeClr val="dk1"/>
              </a:solidFill>
              <a:effectLst/>
              <a:latin typeface="+mn-lt"/>
              <a:ea typeface="+mn-ea"/>
              <a:cs typeface="+mn-cs"/>
            </a:rPr>
            <a:t>   </a:t>
          </a:r>
          <a:r>
            <a:rPr lang="en-IN" sz="1600" b="1" u="dbl">
              <a:solidFill>
                <a:schemeClr val="dk1"/>
              </a:solidFill>
              <a:effectLst/>
              <a:latin typeface="+mn-lt"/>
              <a:ea typeface="+mn-ea"/>
              <a:cs typeface="+mn-cs"/>
            </a:rPr>
            <a:t>THEORY</a:t>
          </a:r>
          <a:br>
            <a:rPr lang="en-IN" sz="1600">
              <a:solidFill>
                <a:schemeClr val="dk1"/>
              </a:solidFill>
              <a:effectLst/>
              <a:latin typeface="+mn-lt"/>
              <a:ea typeface="+mn-ea"/>
              <a:cs typeface="+mn-cs"/>
            </a:rPr>
          </a:br>
          <a:r>
            <a:rPr lang="en-IN" sz="1600">
              <a:solidFill>
                <a:schemeClr val="dk1"/>
              </a:solidFill>
              <a:effectLst/>
              <a:latin typeface="+mn-lt"/>
              <a:ea typeface="+mn-ea"/>
              <a:cs typeface="+mn-cs"/>
            </a:rPr>
            <a:t>          </a:t>
          </a:r>
          <a:r>
            <a:rPr lang="en-IN" sz="1600" b="1" u="sng">
              <a:solidFill>
                <a:schemeClr val="dk1"/>
              </a:solidFill>
              <a:effectLst/>
              <a:latin typeface="+mn-lt"/>
              <a:ea typeface="+mn-ea"/>
              <a:cs typeface="+mn-cs"/>
            </a:rPr>
            <a:t>CPI Contribution Analysis</a:t>
          </a:r>
          <a:r>
            <a:rPr lang="en-IN" sz="1600">
              <a:solidFill>
                <a:schemeClr val="dk1"/>
              </a:solidFill>
              <a:effectLst/>
              <a:latin typeface="+mn-lt"/>
              <a:ea typeface="+mn-ea"/>
              <a:cs typeface="+mn-cs"/>
            </a:rPr>
            <a:t> </a:t>
          </a:r>
          <a:br>
            <a:rPr lang="en-IN" sz="1600">
              <a:solidFill>
                <a:schemeClr val="dk1"/>
              </a:solidFill>
              <a:effectLst/>
              <a:latin typeface="+mn-lt"/>
              <a:ea typeface="+mn-ea"/>
              <a:cs typeface="+mn-cs"/>
            </a:rPr>
          </a:br>
          <a:r>
            <a:rPr lang="en-IN" sz="1400"/>
            <a:t>This report presents the </a:t>
          </a:r>
          <a:r>
            <a:rPr lang="en-IN" sz="1400" b="1"/>
            <a:t>CPI contribution of different categories for the combined Rural + Urban sector in May 2023</a:t>
          </a:r>
          <a:r>
            <a:rPr lang="en-IN" sz="1400"/>
            <a:t>. The analysis is based on a total CPI index value of </a:t>
          </a:r>
          <a:r>
            <a:rPr lang="en-IN" sz="1400" b="1"/>
            <a:t>4654.4</a:t>
          </a:r>
          <a:r>
            <a:rPr lang="en-IN" sz="1400"/>
            <a:t>, with the contribution of all selected categories together representing </a:t>
          </a:r>
          <a:r>
            <a:rPr lang="en-IN" sz="1400" b="1"/>
            <a:t>100%</a:t>
          </a:r>
          <a:r>
            <a:rPr lang="en-IN" sz="1400"/>
            <a:t> of the CPI basket. Among all categories, </a:t>
          </a:r>
          <a:r>
            <a:rPr lang="en-IN" sz="1400" b="1"/>
            <a:t>Food and beverages</a:t>
          </a:r>
          <a:r>
            <a:rPr lang="en-IN" sz="1400"/>
            <a:t> recorded the highest contribution of </a:t>
          </a:r>
          <a:r>
            <a:rPr lang="en-IN" sz="1400" b="1"/>
            <a:t>49.56%</a:t>
          </a:r>
          <a:r>
            <a:rPr lang="en-IN" sz="1400"/>
            <a:t>, indicating that it formed the largest share of the overall CPI contribution. </a:t>
          </a:r>
          <a:r>
            <a:rPr lang="en-IN" sz="1400" b="1"/>
            <a:t>Clothing and footwear</a:t>
          </a:r>
          <a:r>
            <a:rPr lang="en-IN" sz="1400"/>
            <a:t> was the second-largest contributor with </a:t>
          </a:r>
          <a:r>
            <a:rPr lang="en-IN" sz="1400" b="1"/>
            <a:t>11.89%</a:t>
          </a:r>
          <a:r>
            <a:rPr lang="en-IN" sz="1400"/>
            <a:t>, followed by </a:t>
          </a:r>
          <a:r>
            <a:rPr lang="en-IN" sz="1400" b="1"/>
            <a:t>Miscellaneous at 7.75%</a:t>
          </a:r>
          <a:r>
            <a:rPr lang="en-IN" sz="1400"/>
            <a:t>. Other categories, including </a:t>
          </a:r>
          <a:r>
            <a:rPr lang="en-IN" sz="1400" b="1"/>
            <a:t>Housing, Fuel and light, Health, Education, Household goods and services, and Transport and communication</a:t>
          </a:r>
          <a:r>
            <a:rPr lang="en-IN" sz="1400"/>
            <a:t>, contributed comparatively smaller shares. Overall, the report highlights that </a:t>
          </a:r>
          <a:r>
            <a:rPr lang="en-IN" sz="1400" b="1"/>
            <a:t>Food and beverages had a significantly larger contribution than the other categories</a:t>
          </a:r>
          <a:r>
            <a:rPr lang="en-IN" sz="1400"/>
            <a:t>, making it the major contributor to the CPI basket for the combined Rural + Urban sector in May 2023.</a:t>
          </a:r>
          <a:endParaRPr lang="en-IN"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24312</xdr:colOff>
      <xdr:row>0</xdr:row>
      <xdr:rowOff>7620</xdr:rowOff>
    </xdr:from>
    <xdr:to>
      <xdr:col>9</xdr:col>
      <xdr:colOff>472440</xdr:colOff>
      <xdr:row>15</xdr:row>
      <xdr:rowOff>15423</xdr:rowOff>
    </xdr:to>
    <xdr:graphicFrame macro="">
      <xdr:nvGraphicFramePr>
        <xdr:cNvPr id="2" name="Chart 1">
          <a:extLst>
            <a:ext uri="{FF2B5EF4-FFF2-40B4-BE49-F238E27FC236}">
              <a16:creationId xmlns:a16="http://schemas.microsoft.com/office/drawing/2014/main" id="{9829686A-4804-4404-B71A-0440609A2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45720</xdr:colOff>
      <xdr:row>15</xdr:row>
      <xdr:rowOff>45720</xdr:rowOff>
    </xdr:from>
    <xdr:to>
      <xdr:col>13</xdr:col>
      <xdr:colOff>381000</xdr:colOff>
      <xdr:row>25</xdr:row>
      <xdr:rowOff>60960</xdr:rowOff>
    </xdr:to>
    <xdr:sp macro="" textlink="">
      <xdr:nvSpPr>
        <xdr:cNvPr id="3" name="TextBox 2">
          <a:extLst>
            <a:ext uri="{FF2B5EF4-FFF2-40B4-BE49-F238E27FC236}">
              <a16:creationId xmlns:a16="http://schemas.microsoft.com/office/drawing/2014/main" id="{CD97A35E-31FB-44C5-B208-F63BE4D25E63}"/>
            </a:ext>
          </a:extLst>
        </xdr:cNvPr>
        <xdr:cNvSpPr txBox="1"/>
      </xdr:nvSpPr>
      <xdr:spPr>
        <a:xfrm>
          <a:off x="3124200" y="2887980"/>
          <a:ext cx="10523220" cy="184404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b="1"/>
            <a:t>                                                                                                                                                         </a:t>
          </a:r>
          <a:r>
            <a:rPr lang="en-IN" sz="1800" b="1" u="dbl"/>
            <a:t>REASON FOR HIGHEST INFLATION</a:t>
          </a:r>
        </a:p>
        <a:p>
          <a:pPr algn="ctr"/>
          <a:r>
            <a:rPr lang="en-IN" sz="1400" b="1"/>
            <a:t>The high inflation in 2022 was mainly driven by higher food, fuel and commodity prices, supply-side disruptions, higher global commodity prices and the impact of the Russia–Ukraine war. Food and beverages were a major contributor to headline CPI inflation, while higher global energy prices also increased fuel-related inflation.</a:t>
          </a:r>
          <a:endParaRPr lang="en-IN" sz="1400"/>
        </a:p>
        <a:p>
          <a:r>
            <a:rPr lang="en-IN" b="1"/>
            <a:t>                                                                                                                                                                                             </a:t>
          </a:r>
          <a:r>
            <a:rPr lang="en-IN" sz="1800" b="1" u="dbl"/>
            <a:t>CONCLUSION</a:t>
          </a:r>
        </a:p>
        <a:p>
          <a:pPr algn="ctr"/>
          <a:r>
            <a:rPr lang="en-IN" sz="1400" b="1"/>
            <a:t>Among the full years analysed from 2017 to 2022, 2022 recorded the highest Y-o-Y CPI inflation rate of 6.62%.</a:t>
          </a:r>
          <a:endParaRPr lang="en-IN" sz="1400"/>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15240</xdr:colOff>
      <xdr:row>0</xdr:row>
      <xdr:rowOff>11430</xdr:rowOff>
    </xdr:from>
    <xdr:to>
      <xdr:col>16</xdr:col>
      <xdr:colOff>601980</xdr:colOff>
      <xdr:row>15</xdr:row>
      <xdr:rowOff>11430</xdr:rowOff>
    </xdr:to>
    <xdr:graphicFrame macro="">
      <xdr:nvGraphicFramePr>
        <xdr:cNvPr id="2" name="Chart 1">
          <a:extLst>
            <a:ext uri="{FF2B5EF4-FFF2-40B4-BE49-F238E27FC236}">
              <a16:creationId xmlns:a16="http://schemas.microsoft.com/office/drawing/2014/main" id="{41F9BC27-FFC4-7531-0A37-3B80AEDFDE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xdr:colOff>
      <xdr:row>15</xdr:row>
      <xdr:rowOff>83820</xdr:rowOff>
    </xdr:from>
    <xdr:to>
      <xdr:col>17</xdr:col>
      <xdr:colOff>7620</xdr:colOff>
      <xdr:row>26</xdr:row>
      <xdr:rowOff>175260</xdr:rowOff>
    </xdr:to>
    <xdr:sp macro="" textlink="">
      <xdr:nvSpPr>
        <xdr:cNvPr id="3" name="TextBox 2">
          <a:extLst>
            <a:ext uri="{FF2B5EF4-FFF2-40B4-BE49-F238E27FC236}">
              <a16:creationId xmlns:a16="http://schemas.microsoft.com/office/drawing/2014/main" id="{1C0E2CC7-A7DA-7709-4823-4120EB5A60C7}"/>
            </a:ext>
          </a:extLst>
        </xdr:cNvPr>
        <xdr:cNvSpPr txBox="1"/>
      </xdr:nvSpPr>
      <xdr:spPr>
        <a:xfrm>
          <a:off x="4130040" y="2827020"/>
          <a:ext cx="8702040" cy="2103120"/>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400" b="1"/>
            <a:t>                                                                                                                            </a:t>
          </a:r>
          <a:r>
            <a:rPr lang="en-IN" sz="1800" b="1" u="dbl"/>
            <a:t>THEORY</a:t>
          </a:r>
          <a:br>
            <a:rPr lang="en-IN" sz="1400" b="1"/>
          </a:br>
          <a:r>
            <a:rPr lang="en-IN" sz="1400" b="1"/>
            <a:t>                                                                                                             </a:t>
          </a:r>
          <a:r>
            <a:rPr lang="en-IN" sz="1600" b="1" u="sng"/>
            <a:t>MONTHLY</a:t>
          </a:r>
          <a:r>
            <a:rPr lang="en-IN" sz="1600" b="1" u="sng" baseline="0"/>
            <a:t> INFLATION</a:t>
          </a:r>
          <a:br>
            <a:rPr lang="en-IN" sz="1400" b="1" baseline="0"/>
          </a:br>
          <a:r>
            <a:rPr lang="en-IN" sz="1400"/>
            <a:t>The analysis of the </a:t>
          </a:r>
          <a:r>
            <a:rPr lang="en-IN" sz="1400" b="1"/>
            <a:t>Rural Sector</a:t>
          </a:r>
          <a:r>
            <a:rPr lang="en-IN" sz="1400"/>
            <a:t> from </a:t>
          </a:r>
          <a:r>
            <a:rPr lang="en-IN" sz="1400" b="1"/>
            <a:t>June 2022 to May 2023</a:t>
          </a:r>
          <a:r>
            <a:rPr lang="en-IN" sz="1400"/>
            <a:t> shows noticeable fluctuations in month-on-month food inflation. The </a:t>
          </a:r>
          <a:r>
            <a:rPr lang="en-IN" sz="1400" b="1"/>
            <a:t>highest food inflation was recorded in June 2022 at 0.97%</a:t>
          </a:r>
          <a:r>
            <a:rPr lang="en-IN" sz="1400"/>
            <a:t>, while the </a:t>
          </a:r>
          <a:r>
            <a:rPr lang="en-IN" sz="1400" b="1"/>
            <a:t>lowest was recorded in February 2023 at -0.77%</a:t>
          </a:r>
          <a:r>
            <a:rPr lang="en-IN" sz="1400"/>
            <a:t>. Inflation declined during December 2022 and February 2023, indicating a fall in the food price index. After reaching its lowest point, food inflation </a:t>
          </a:r>
          <a:r>
            <a:rPr lang="en-IN" sz="1400" b="1"/>
            <a:t>recovered gradually</a:t>
          </a:r>
          <a:r>
            <a:rPr lang="en-IN" sz="1400"/>
            <a:t>, rising to </a:t>
          </a:r>
          <a:r>
            <a:rPr lang="en-IN" sz="1400" b="1"/>
            <a:t>0.37% in April and 0.73% in May 2023</a:t>
          </a:r>
          <a:r>
            <a:rPr lang="en-IN" sz="1400"/>
            <a:t>. Overall, the rural food sector experienced </a:t>
          </a:r>
          <a:r>
            <a:rPr lang="en-IN" sz="1400" b="1"/>
            <a:t>periods of increase, decline, and recovery</a:t>
          </a:r>
          <a:r>
            <a:rPr lang="en-IN" sz="1400"/>
            <a:t>, with an </a:t>
          </a:r>
          <a:r>
            <a:rPr lang="en-IN" sz="1400" b="1"/>
            <a:t>absolute change of 1.74 percentage points</a:t>
          </a:r>
          <a:r>
            <a:rPr lang="en-IN" sz="1400"/>
            <a:t> between the highest and lowest inflation levels.</a:t>
          </a:r>
          <a:endParaRPr lang="en-IN" sz="1100"/>
        </a:p>
      </xdr:txBody>
    </xdr:sp>
    <xdr:clientData/>
  </xdr:twoCellAnchor>
  <xdr:twoCellAnchor>
    <xdr:from>
      <xdr:col>6</xdr:col>
      <xdr:colOff>30480</xdr:colOff>
      <xdr:row>29</xdr:row>
      <xdr:rowOff>0</xdr:rowOff>
    </xdr:from>
    <xdr:to>
      <xdr:col>17</xdr:col>
      <xdr:colOff>7620</xdr:colOff>
      <xdr:row>44</xdr:row>
      <xdr:rowOff>0</xdr:rowOff>
    </xdr:to>
    <xdr:graphicFrame macro="">
      <xdr:nvGraphicFramePr>
        <xdr:cNvPr id="4" name="Chart 3">
          <a:extLst>
            <a:ext uri="{FF2B5EF4-FFF2-40B4-BE49-F238E27FC236}">
              <a16:creationId xmlns:a16="http://schemas.microsoft.com/office/drawing/2014/main" id="{39F04C23-27B2-4868-8D13-55A75D231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xdr:colOff>
      <xdr:row>44</xdr:row>
      <xdr:rowOff>99060</xdr:rowOff>
    </xdr:from>
    <xdr:to>
      <xdr:col>16</xdr:col>
      <xdr:colOff>601980</xdr:colOff>
      <xdr:row>55</xdr:row>
      <xdr:rowOff>167640</xdr:rowOff>
    </xdr:to>
    <xdr:sp macro="" textlink="">
      <xdr:nvSpPr>
        <xdr:cNvPr id="5" name="TextBox 4">
          <a:extLst>
            <a:ext uri="{FF2B5EF4-FFF2-40B4-BE49-F238E27FC236}">
              <a16:creationId xmlns:a16="http://schemas.microsoft.com/office/drawing/2014/main" id="{C917563E-B1CD-AF0E-3BA2-3159B9C2B8F5}"/>
            </a:ext>
          </a:extLst>
        </xdr:cNvPr>
        <xdr:cNvSpPr txBox="1"/>
      </xdr:nvSpPr>
      <xdr:spPr>
        <a:xfrm>
          <a:off x="4137660" y="8145780"/>
          <a:ext cx="8679180" cy="2080260"/>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400"/>
            <a:t>                                                                                                                    </a:t>
          </a:r>
          <a:r>
            <a:rPr lang="en-IN" sz="1800" b="1" u="dbl">
              <a:solidFill>
                <a:schemeClr val="dk1"/>
              </a:solidFill>
              <a:effectLst/>
              <a:latin typeface="+mn-lt"/>
              <a:ea typeface="+mn-ea"/>
              <a:cs typeface="+mn-cs"/>
            </a:rPr>
            <a:t>THEORY</a:t>
          </a:r>
          <a:br>
            <a:rPr lang="en-IN" sz="1400" b="1">
              <a:solidFill>
                <a:schemeClr val="dk1"/>
              </a:solidFill>
              <a:effectLst/>
              <a:latin typeface="+mn-lt"/>
              <a:ea typeface="+mn-ea"/>
              <a:cs typeface="+mn-cs"/>
            </a:rPr>
          </a:br>
          <a:r>
            <a:rPr lang="en-IN" sz="1400" b="1">
              <a:solidFill>
                <a:schemeClr val="dk1"/>
              </a:solidFill>
              <a:effectLst/>
              <a:latin typeface="+mn-lt"/>
              <a:ea typeface="+mn-ea"/>
              <a:cs typeface="+mn-cs"/>
            </a:rPr>
            <a:t>                                                                                                        </a:t>
          </a:r>
          <a:r>
            <a:rPr lang="en-IN" sz="1600" b="1" u="sng">
              <a:solidFill>
                <a:schemeClr val="dk1"/>
              </a:solidFill>
              <a:effectLst/>
              <a:latin typeface="+mn-lt"/>
              <a:ea typeface="+mn-ea"/>
              <a:cs typeface="+mn-cs"/>
            </a:rPr>
            <a:t>MONTHLY</a:t>
          </a:r>
          <a:r>
            <a:rPr lang="en-IN" sz="1600" b="1" u="sng" baseline="0">
              <a:solidFill>
                <a:schemeClr val="dk1"/>
              </a:solidFill>
              <a:effectLst/>
              <a:latin typeface="+mn-lt"/>
              <a:ea typeface="+mn-ea"/>
              <a:cs typeface="+mn-cs"/>
            </a:rPr>
            <a:t> INFLATION</a:t>
          </a:r>
          <a:br>
            <a:rPr lang="en-IN" sz="1600" b="1" u="sng" baseline="0">
              <a:solidFill>
                <a:schemeClr val="dk1"/>
              </a:solidFill>
              <a:effectLst/>
              <a:latin typeface="+mn-lt"/>
              <a:ea typeface="+mn-ea"/>
              <a:cs typeface="+mn-cs"/>
            </a:rPr>
          </a:br>
          <a:r>
            <a:rPr lang="en-IN" sz="1400"/>
            <a:t>The </a:t>
          </a:r>
          <a:r>
            <a:rPr lang="en-IN" sz="1400" b="1"/>
            <a:t>Urban Sector</a:t>
          </a:r>
          <a:r>
            <a:rPr lang="en-IN" sz="1400"/>
            <a:t> food inflation trend from </a:t>
          </a:r>
          <a:r>
            <a:rPr lang="en-IN" sz="1400" b="1"/>
            <a:t>June 2022 to May 2023</a:t>
          </a:r>
          <a:r>
            <a:rPr lang="en-IN" sz="1400"/>
            <a:t> shows significant monthly fluctuations. The </a:t>
          </a:r>
          <a:r>
            <a:rPr lang="en-IN" sz="1400" b="1"/>
            <a:t>highest food inflation was recorded in June 2022 at 1.12%</a:t>
          </a:r>
          <a:r>
            <a:rPr lang="en-IN" sz="1400"/>
            <a:t>, while the </a:t>
          </a:r>
          <a:r>
            <a:rPr lang="en-IN" sz="1400" b="1"/>
            <a:t>lowest was recorded in December 2022 at -0.80%</a:t>
          </a:r>
          <a:r>
            <a:rPr lang="en-IN" sz="1400"/>
            <a:t>. Inflation declined during November–December 2022, indicating a fall in food prices, but </a:t>
          </a:r>
          <a:r>
            <a:rPr lang="en-IN" sz="1400" b="1"/>
            <a:t>recovered strongly in January 2023 at 0.63%</a:t>
          </a:r>
          <a:r>
            <a:rPr lang="en-IN" sz="1400"/>
            <a:t>. After a slight decline in February, inflation increased again, reaching </a:t>
          </a:r>
          <a:r>
            <a:rPr lang="en-IN" sz="1400" b="1"/>
            <a:t>0.75% in May 2023</a:t>
          </a:r>
          <a:r>
            <a:rPr lang="en-IN" sz="1400"/>
            <a:t>. Overall, the period shows a pattern of </a:t>
          </a:r>
          <a:r>
            <a:rPr lang="en-IN" sz="1400" b="1"/>
            <a:t>high inflation, decline, negative inflation, and gradual recovery</a:t>
          </a:r>
          <a:r>
            <a:rPr lang="en-IN" sz="1400"/>
            <a:t>, with an </a:t>
          </a:r>
          <a:r>
            <a:rPr lang="en-IN" sz="1400" b="1"/>
            <a:t>absolute change of 1.92 percentage points</a:t>
          </a:r>
          <a:r>
            <a:rPr lang="en-IN" sz="1400"/>
            <a:t> between the highest and lowest levels.</a:t>
          </a:r>
        </a:p>
      </xdr:txBody>
    </xdr:sp>
    <xdr:clientData/>
  </xdr:twoCellAnchor>
  <xdr:twoCellAnchor>
    <xdr:from>
      <xdr:col>6</xdr:col>
      <xdr:colOff>0</xdr:colOff>
      <xdr:row>58</xdr:row>
      <xdr:rowOff>0</xdr:rowOff>
    </xdr:from>
    <xdr:to>
      <xdr:col>16</xdr:col>
      <xdr:colOff>586740</xdr:colOff>
      <xdr:row>73</xdr:row>
      <xdr:rowOff>0</xdr:rowOff>
    </xdr:to>
    <xdr:graphicFrame macro="">
      <xdr:nvGraphicFramePr>
        <xdr:cNvPr id="6" name="Chart 5">
          <a:extLst>
            <a:ext uri="{FF2B5EF4-FFF2-40B4-BE49-F238E27FC236}">
              <a16:creationId xmlns:a16="http://schemas.microsoft.com/office/drawing/2014/main" id="{AACB9B71-C9D2-4F9F-9392-0D448B331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xdr:colOff>
      <xdr:row>73</xdr:row>
      <xdr:rowOff>76200</xdr:rowOff>
    </xdr:from>
    <xdr:to>
      <xdr:col>16</xdr:col>
      <xdr:colOff>601980</xdr:colOff>
      <xdr:row>84</xdr:row>
      <xdr:rowOff>0</xdr:rowOff>
    </xdr:to>
    <xdr:sp macro="" textlink="">
      <xdr:nvSpPr>
        <xdr:cNvPr id="7" name="TextBox 6">
          <a:extLst>
            <a:ext uri="{FF2B5EF4-FFF2-40B4-BE49-F238E27FC236}">
              <a16:creationId xmlns:a16="http://schemas.microsoft.com/office/drawing/2014/main" id="{1322306B-2CF0-9965-0D7C-A7FF2D6BCDB0}"/>
            </a:ext>
          </a:extLst>
        </xdr:cNvPr>
        <xdr:cNvSpPr txBox="1"/>
      </xdr:nvSpPr>
      <xdr:spPr>
        <a:xfrm>
          <a:off x="4137660" y="13426440"/>
          <a:ext cx="8679180" cy="1935480"/>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100"/>
            <a:t>                                                                                                                                                 </a:t>
          </a:r>
          <a:r>
            <a:rPr lang="en-IN" sz="1100" baseline="0"/>
            <a:t>   </a:t>
          </a:r>
          <a:r>
            <a:rPr lang="en-IN" sz="2000" b="1" u="dbl">
              <a:solidFill>
                <a:schemeClr val="dk1"/>
              </a:solidFill>
              <a:effectLst/>
              <a:latin typeface="+mn-lt"/>
              <a:ea typeface="+mn-ea"/>
              <a:cs typeface="+mn-cs"/>
            </a:rPr>
            <a:t>THEORY</a:t>
          </a:r>
          <a:br>
            <a:rPr lang="en-IN" sz="1100" b="1">
              <a:solidFill>
                <a:schemeClr val="dk1"/>
              </a:solidFill>
              <a:effectLst/>
              <a:latin typeface="+mn-lt"/>
              <a:ea typeface="+mn-ea"/>
              <a:cs typeface="+mn-cs"/>
            </a:rPr>
          </a:br>
          <a:r>
            <a:rPr lang="en-IN" sz="1100" b="1">
              <a:solidFill>
                <a:schemeClr val="dk1"/>
              </a:solidFill>
              <a:effectLst/>
              <a:latin typeface="+mn-lt"/>
              <a:ea typeface="+mn-ea"/>
              <a:cs typeface="+mn-cs"/>
            </a:rPr>
            <a:t>                                                                                                                                     </a:t>
          </a:r>
          <a:r>
            <a:rPr lang="en-IN" sz="1800" b="1" u="sng">
              <a:solidFill>
                <a:schemeClr val="dk1"/>
              </a:solidFill>
              <a:effectLst/>
              <a:latin typeface="+mn-lt"/>
              <a:ea typeface="+mn-ea"/>
              <a:cs typeface="+mn-cs"/>
            </a:rPr>
            <a:t>MONTHLY</a:t>
          </a:r>
          <a:r>
            <a:rPr lang="en-IN" sz="1800" b="1" u="sng" baseline="0">
              <a:solidFill>
                <a:schemeClr val="dk1"/>
              </a:solidFill>
              <a:effectLst/>
              <a:latin typeface="+mn-lt"/>
              <a:ea typeface="+mn-ea"/>
              <a:cs typeface="+mn-cs"/>
            </a:rPr>
            <a:t> INFLATION</a:t>
          </a:r>
          <a:br>
            <a:rPr lang="en-IN" sz="1600" b="1" u="sng" baseline="0">
              <a:solidFill>
                <a:schemeClr val="dk1"/>
              </a:solidFill>
              <a:effectLst/>
              <a:latin typeface="+mn-lt"/>
              <a:ea typeface="+mn-ea"/>
              <a:cs typeface="+mn-cs"/>
            </a:rPr>
          </a:br>
          <a:r>
            <a:rPr lang="en-IN" sz="1400"/>
            <a:t>The </a:t>
          </a:r>
          <a:r>
            <a:rPr lang="en-IN" sz="1400" b="1"/>
            <a:t>Rural + Urban Sector</a:t>
          </a:r>
          <a:r>
            <a:rPr lang="en-IN" sz="1400"/>
            <a:t> analysis from </a:t>
          </a:r>
          <a:r>
            <a:rPr lang="en-IN" sz="1400" b="1"/>
            <a:t>June 2022 to May 2023</a:t>
          </a:r>
          <a:r>
            <a:rPr lang="en-IN" sz="1400"/>
            <a:t> shows noticeable fluctuations in monthly food inflation. The </a:t>
          </a:r>
          <a:r>
            <a:rPr lang="en-IN" sz="1400" b="1"/>
            <a:t>highest inflation was recorded in June 2022 at 1.03%</a:t>
          </a:r>
          <a:r>
            <a:rPr lang="en-IN" sz="1400"/>
            <a:t>, while the </a:t>
          </a:r>
          <a:r>
            <a:rPr lang="en-IN" sz="1400" b="1"/>
            <a:t>lowest was recorded in February 2023 at -0.59%</a:t>
          </a:r>
          <a:r>
            <a:rPr lang="en-IN" sz="1400"/>
            <a:t>. Inflation declined during November–February, reaching negative levels, and then </a:t>
          </a:r>
          <a:r>
            <a:rPr lang="en-IN" sz="1400" b="1"/>
            <a:t>recovered gradually</a:t>
          </a:r>
          <a:r>
            <a:rPr lang="en-IN" sz="1400"/>
            <a:t>, rising to </a:t>
          </a:r>
          <a:r>
            <a:rPr lang="en-IN" sz="1400" b="1"/>
            <a:t>0.46% in April and 0.76% in May 2023</a:t>
          </a:r>
          <a:r>
            <a:rPr lang="en-IN" sz="1400"/>
            <a:t>. The </a:t>
          </a:r>
          <a:r>
            <a:rPr lang="en-IN" sz="1400" b="1"/>
            <a:t>absolute change between the highest and lowest levels was 1.62 percentage points</a:t>
          </a:r>
          <a:r>
            <a:rPr lang="en-IN" sz="1400"/>
            <a:t>. Overall, the trend shows </a:t>
          </a:r>
          <a:r>
            <a:rPr lang="en-IN" sz="1400" b="1"/>
            <a:t>increase, decline, negative inflation, and recovery</a:t>
          </a:r>
          <a:r>
            <a:rPr lang="en-IN" sz="1400"/>
            <a:t> during the 12-month period.</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30480</xdr:colOff>
      <xdr:row>0</xdr:row>
      <xdr:rowOff>83820</xdr:rowOff>
    </xdr:from>
    <xdr:to>
      <xdr:col>15</xdr:col>
      <xdr:colOff>114300</xdr:colOff>
      <xdr:row>26</xdr:row>
      <xdr:rowOff>175260</xdr:rowOff>
    </xdr:to>
    <xdr:sp macro="" textlink="">
      <xdr:nvSpPr>
        <xdr:cNvPr id="4" name="TextBox 3">
          <a:extLst>
            <a:ext uri="{FF2B5EF4-FFF2-40B4-BE49-F238E27FC236}">
              <a16:creationId xmlns:a16="http://schemas.microsoft.com/office/drawing/2014/main" id="{23588E6E-767D-92AD-E154-6E0DD196D0EC}"/>
            </a:ext>
          </a:extLst>
        </xdr:cNvPr>
        <xdr:cNvSpPr txBox="1"/>
      </xdr:nvSpPr>
      <xdr:spPr>
        <a:xfrm>
          <a:off x="11544300" y="83820"/>
          <a:ext cx="2522220" cy="4846320"/>
        </a:xfrm>
        <a:prstGeom prst="rect">
          <a:avLst/>
        </a:prstGeom>
        <a:solidFill>
          <a:schemeClr val="accent4">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2000"/>
            <a:t>                </a:t>
          </a:r>
          <a:r>
            <a:rPr lang="en-IN" sz="2000" b="1" u="dbl"/>
            <a:t>THEORY</a:t>
          </a:r>
          <a:br>
            <a:rPr lang="en-IN" sz="2000" b="1" u="dbl"/>
          </a:br>
          <a:r>
            <a:rPr lang="en-IN" sz="2000" b="1" u="none" baseline="0"/>
            <a:t>         </a:t>
          </a:r>
          <a:r>
            <a:rPr lang="en-IN" sz="1600" b="1" u="sng"/>
            <a:t>COVID-19 Inflation</a:t>
          </a:r>
          <a:br>
            <a:rPr lang="en-IN" sz="1600" b="1" u="sng"/>
          </a:br>
          <a:r>
            <a:rPr lang="en-IN" sz="1300"/>
            <a:t>The analysis shows that </a:t>
          </a:r>
          <a:r>
            <a:rPr lang="en-IN" sz="1300" b="1"/>
            <a:t>inflation trends changed around the COVID-19 period</a:t>
          </a:r>
          <a:r>
            <a:rPr lang="en-IN" sz="1300"/>
            <a:t>, with different impacts across Food, Healthcare, and Essential Services. </a:t>
          </a:r>
          <a:r>
            <a:rPr lang="en-IN" sz="1300" b="1"/>
            <a:t>Food inflation increased sharply from -1.17% in 2019 to 7.57% in 2020</a:t>
          </a:r>
          <a:r>
            <a:rPr lang="en-IN" sz="1300"/>
            <a:t> and remained relatively high until 2022. Healthcare inflation decreased from </a:t>
          </a:r>
          <a:r>
            <a:rPr lang="en-IN" sz="1300" b="1"/>
            <a:t>10.02% in 2019 to 4.19% in 2020</a:t>
          </a:r>
          <a:r>
            <a:rPr lang="en-IN" sz="1300"/>
            <a:t>, while Essential Services inflation fell to </a:t>
          </a:r>
          <a:r>
            <a:rPr lang="en-IN" sz="1300" b="1"/>
            <a:t>3.10% in 2020</a:t>
          </a:r>
          <a:r>
            <a:rPr lang="en-IN" sz="1300"/>
            <a:t>. After 2020, both Healthcare and Essential Services inflation increased again. Overall, the data indicates that the pandemic period was associated with </a:t>
          </a:r>
          <a:r>
            <a:rPr lang="en-IN" sz="1300" b="1"/>
            <a:t>noticeable changes in inflation trends across essential categories</a:t>
          </a:r>
          <a:r>
            <a:rPr lang="en-IN" sz="1300"/>
            <a:t>.</a:t>
          </a:r>
          <a:endParaRPr lang="en-IN" sz="1300" b="1" u="sng"/>
        </a:p>
      </xdr:txBody>
    </xdr:sp>
    <xdr:clientData/>
  </xdr:twoCellAnchor>
  <xdr:twoCellAnchor>
    <xdr:from>
      <xdr:col>0</xdr:col>
      <xdr:colOff>0</xdr:colOff>
      <xdr:row>40</xdr:row>
      <xdr:rowOff>30480</xdr:rowOff>
    </xdr:from>
    <xdr:to>
      <xdr:col>7</xdr:col>
      <xdr:colOff>7620</xdr:colOff>
      <xdr:row>55</xdr:row>
      <xdr:rowOff>175260</xdr:rowOff>
    </xdr:to>
    <xdr:graphicFrame macro="">
      <xdr:nvGraphicFramePr>
        <xdr:cNvPr id="5" name="Chart 4">
          <a:extLst>
            <a:ext uri="{FF2B5EF4-FFF2-40B4-BE49-F238E27FC236}">
              <a16:creationId xmlns:a16="http://schemas.microsoft.com/office/drawing/2014/main" id="{754EACB2-76C5-4CFA-9E87-6BCD78E17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xdr:colOff>
      <xdr:row>29</xdr:row>
      <xdr:rowOff>22860</xdr:rowOff>
    </xdr:from>
    <xdr:to>
      <xdr:col>15</xdr:col>
      <xdr:colOff>121920</xdr:colOff>
      <xdr:row>56</xdr:row>
      <xdr:rowOff>15240</xdr:rowOff>
    </xdr:to>
    <xdr:sp macro="" textlink="">
      <xdr:nvSpPr>
        <xdr:cNvPr id="6" name="TextBox 5">
          <a:extLst>
            <a:ext uri="{FF2B5EF4-FFF2-40B4-BE49-F238E27FC236}">
              <a16:creationId xmlns:a16="http://schemas.microsoft.com/office/drawing/2014/main" id="{A83E5802-3BA4-2D13-8D3F-434D76011C86}"/>
            </a:ext>
          </a:extLst>
        </xdr:cNvPr>
        <xdr:cNvSpPr txBox="1"/>
      </xdr:nvSpPr>
      <xdr:spPr>
        <a:xfrm>
          <a:off x="11536680" y="5326380"/>
          <a:ext cx="2537460" cy="4930140"/>
        </a:xfrm>
        <a:prstGeom prst="rect">
          <a:avLst/>
        </a:prstGeom>
        <a:solidFill>
          <a:schemeClr val="accent4">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t>                             </a:t>
          </a:r>
          <a:r>
            <a:rPr lang="en-IN" sz="2000" b="1" u="dbl">
              <a:solidFill>
                <a:schemeClr val="dk1"/>
              </a:solidFill>
              <a:effectLst/>
              <a:latin typeface="+mn-lt"/>
              <a:ea typeface="+mn-ea"/>
              <a:cs typeface="+mn-cs"/>
            </a:rPr>
            <a:t>THEORY</a:t>
          </a:r>
          <a:br>
            <a:rPr lang="en-IN" sz="1100" b="1" u="dbl">
              <a:solidFill>
                <a:schemeClr val="dk1"/>
              </a:solidFill>
              <a:effectLst/>
              <a:latin typeface="+mn-lt"/>
              <a:ea typeface="+mn-ea"/>
              <a:cs typeface="+mn-cs"/>
            </a:rPr>
          </a:br>
          <a:r>
            <a:rPr lang="en-IN" sz="1100" b="1" baseline="0">
              <a:solidFill>
                <a:schemeClr val="dk1"/>
              </a:solidFill>
              <a:effectLst/>
              <a:latin typeface="+mn-lt"/>
              <a:ea typeface="+mn-ea"/>
              <a:cs typeface="+mn-cs"/>
            </a:rPr>
            <a:t>                </a:t>
          </a:r>
          <a:r>
            <a:rPr lang="en-IN" sz="1600" b="1" u="sng">
              <a:solidFill>
                <a:schemeClr val="dk1"/>
              </a:solidFill>
              <a:effectLst/>
              <a:latin typeface="+mn-lt"/>
              <a:ea typeface="+mn-ea"/>
              <a:cs typeface="+mn-cs"/>
            </a:rPr>
            <a:t>COVID-19 Inflation</a:t>
          </a:r>
          <a:br>
            <a:rPr lang="en-IN" sz="1600" b="1" u="sng">
              <a:solidFill>
                <a:schemeClr val="dk1"/>
              </a:solidFill>
              <a:effectLst/>
              <a:latin typeface="+mn-lt"/>
              <a:ea typeface="+mn-ea"/>
              <a:cs typeface="+mn-cs"/>
            </a:rPr>
          </a:br>
          <a:r>
            <a:rPr lang="en-IN" sz="1350"/>
            <a:t>The analysis shows that </a:t>
          </a:r>
          <a:r>
            <a:rPr lang="en-IN" sz="1350" b="1"/>
            <a:t>inflation trends changed noticeably around the COVID-19 period</a:t>
          </a:r>
          <a:r>
            <a:rPr lang="en-IN" sz="1350"/>
            <a:t> in the urban sector. </a:t>
          </a:r>
          <a:r>
            <a:rPr lang="en-IN" sz="1350" b="1"/>
            <a:t>Food inflation increased from 3.08% in 2019 to 7.36% in 2020 and peaked at 8.74% in 2021</a:t>
          </a:r>
          <a:r>
            <a:rPr lang="en-IN" sz="1350"/>
            <a:t>. Healthcare inflation also increased significantly, from </a:t>
          </a:r>
          <a:r>
            <a:rPr lang="en-IN" sz="1350" b="1"/>
            <a:t>4.17% in 2020 to 8.21% in 2021</a:t>
          </a:r>
          <a:r>
            <a:rPr lang="en-IN" sz="1350"/>
            <a:t>, while Essential Services inflation rose from </a:t>
          </a:r>
          <a:r>
            <a:rPr lang="en-IN" sz="1350" b="1"/>
            <a:t>4.63% to 6.99%</a:t>
          </a:r>
          <a:r>
            <a:rPr lang="en-IN" sz="1350"/>
            <a:t> during the same period. After 2021, food inflation declined, whereas healthcare and essential-service inflation remained relatively high. Overall, the data shows </a:t>
          </a:r>
          <a:r>
            <a:rPr lang="en-IN" sz="1350" b="1"/>
            <a:t>different inflation patterns across Food, Healthcare, and Essential Services during and after the COVID-19 period</a:t>
          </a:r>
          <a:r>
            <a:rPr lang="en-IN" sz="1350"/>
            <a:t>.</a:t>
          </a:r>
        </a:p>
        <a:p>
          <a:endParaRPr lang="en-IN" sz="1100"/>
        </a:p>
      </xdr:txBody>
    </xdr:sp>
    <xdr:clientData/>
  </xdr:twoCellAnchor>
  <xdr:twoCellAnchor>
    <xdr:from>
      <xdr:col>0</xdr:col>
      <xdr:colOff>0</xdr:colOff>
      <xdr:row>69</xdr:row>
      <xdr:rowOff>0</xdr:rowOff>
    </xdr:from>
    <xdr:to>
      <xdr:col>6</xdr:col>
      <xdr:colOff>1158240</xdr:colOff>
      <xdr:row>85</xdr:row>
      <xdr:rowOff>0</xdr:rowOff>
    </xdr:to>
    <xdr:graphicFrame macro="">
      <xdr:nvGraphicFramePr>
        <xdr:cNvPr id="7" name="Chart 6">
          <a:extLst>
            <a:ext uri="{FF2B5EF4-FFF2-40B4-BE49-F238E27FC236}">
              <a16:creationId xmlns:a16="http://schemas.microsoft.com/office/drawing/2014/main" id="{945BD607-2020-4948-AEAF-305CF2479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0</xdr:rowOff>
    </xdr:from>
    <xdr:to>
      <xdr:col>6</xdr:col>
      <xdr:colOff>1143000</xdr:colOff>
      <xdr:row>26</xdr:row>
      <xdr:rowOff>144780</xdr:rowOff>
    </xdr:to>
    <xdr:graphicFrame macro="">
      <xdr:nvGraphicFramePr>
        <xdr:cNvPr id="8" name="Chart 7">
          <a:extLst>
            <a:ext uri="{FF2B5EF4-FFF2-40B4-BE49-F238E27FC236}">
              <a16:creationId xmlns:a16="http://schemas.microsoft.com/office/drawing/2014/main" id="{CDF4297D-A612-4097-ACB3-8FCD17F12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15240</xdr:colOff>
      <xdr:row>58</xdr:row>
      <xdr:rowOff>7620</xdr:rowOff>
    </xdr:from>
    <xdr:to>
      <xdr:col>15</xdr:col>
      <xdr:colOff>137160</xdr:colOff>
      <xdr:row>85</xdr:row>
      <xdr:rowOff>15240</xdr:rowOff>
    </xdr:to>
    <xdr:sp macro="" textlink="">
      <xdr:nvSpPr>
        <xdr:cNvPr id="9" name="TextBox 8">
          <a:extLst>
            <a:ext uri="{FF2B5EF4-FFF2-40B4-BE49-F238E27FC236}">
              <a16:creationId xmlns:a16="http://schemas.microsoft.com/office/drawing/2014/main" id="{1F522354-0C17-AE5D-C6DD-D0E445E4AB1C}"/>
            </a:ext>
          </a:extLst>
        </xdr:cNvPr>
        <xdr:cNvSpPr txBox="1"/>
      </xdr:nvSpPr>
      <xdr:spPr>
        <a:xfrm>
          <a:off x="11529060" y="10614660"/>
          <a:ext cx="2560320" cy="4945380"/>
        </a:xfrm>
        <a:prstGeom prst="rect">
          <a:avLst/>
        </a:prstGeom>
        <a:solidFill>
          <a:schemeClr val="accent4">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t>                            </a:t>
          </a:r>
          <a:r>
            <a:rPr lang="en-IN" sz="2000" b="1" u="dbl">
              <a:solidFill>
                <a:schemeClr val="dk1"/>
              </a:solidFill>
              <a:effectLst/>
              <a:latin typeface="+mn-lt"/>
              <a:ea typeface="+mn-ea"/>
              <a:cs typeface="+mn-cs"/>
            </a:rPr>
            <a:t>THEORY</a:t>
          </a:r>
          <a:br>
            <a:rPr lang="en-IN" sz="1100" b="1" u="dbl">
              <a:solidFill>
                <a:schemeClr val="dk1"/>
              </a:solidFill>
              <a:effectLst/>
              <a:latin typeface="+mn-lt"/>
              <a:ea typeface="+mn-ea"/>
              <a:cs typeface="+mn-cs"/>
            </a:rPr>
          </a:br>
          <a:r>
            <a:rPr lang="en-IN" sz="1100" b="1" baseline="0">
              <a:solidFill>
                <a:schemeClr val="dk1"/>
              </a:solidFill>
              <a:effectLst/>
              <a:latin typeface="+mn-lt"/>
              <a:ea typeface="+mn-ea"/>
              <a:cs typeface="+mn-cs"/>
            </a:rPr>
            <a:t>              </a:t>
          </a:r>
          <a:r>
            <a:rPr lang="en-IN" sz="1600" b="1" u="sng">
              <a:solidFill>
                <a:schemeClr val="dk1"/>
              </a:solidFill>
              <a:effectLst/>
              <a:latin typeface="+mn-lt"/>
              <a:ea typeface="+mn-ea"/>
              <a:cs typeface="+mn-cs"/>
            </a:rPr>
            <a:t>COVID-19 Inflation</a:t>
          </a:r>
          <a:br>
            <a:rPr lang="en-IN" sz="1600" b="1" u="sng">
              <a:solidFill>
                <a:schemeClr val="dk1"/>
              </a:solidFill>
              <a:effectLst/>
              <a:latin typeface="+mn-lt"/>
              <a:ea typeface="+mn-ea"/>
              <a:cs typeface="+mn-cs"/>
            </a:rPr>
          </a:br>
          <a:r>
            <a:rPr lang="en-IN" sz="1400"/>
            <a:t>The analysis shows that </a:t>
          </a:r>
          <a:r>
            <a:rPr lang="en-IN" sz="1400" b="1"/>
            <a:t>inflation trends changed noticeably around the COVID-19 period</a:t>
          </a:r>
          <a:r>
            <a:rPr lang="en-IN" sz="1400"/>
            <a:t> across the Rural + Urban sector. </a:t>
          </a:r>
          <a:r>
            <a:rPr lang="en-IN" sz="1400" b="1"/>
            <a:t>Food inflation increased sharply from 0.39% in 2019 to 7.52% in 2020</a:t>
          </a:r>
          <a:r>
            <a:rPr lang="en-IN" sz="1400"/>
            <a:t> and remained high during 2021–2022. Healthcare inflation, however, declined from </a:t>
          </a:r>
          <a:r>
            <a:rPr lang="en-IN" sz="1400" b="1"/>
            <a:t>8.86% in 2019 to 4.17% in 2020</a:t>
          </a:r>
          <a:r>
            <a:rPr lang="en-IN" sz="1400"/>
            <a:t>, before increasing again in the following years. Essential Services inflation also fell to </a:t>
          </a:r>
          <a:r>
            <a:rPr lang="en-IN" sz="1400" b="1"/>
            <a:t>3.71% in 2020</a:t>
          </a:r>
          <a:r>
            <a:rPr lang="en-IN" sz="1400"/>
            <a:t> and then increased to </a:t>
          </a:r>
          <a:r>
            <a:rPr lang="en-IN" sz="1400" b="1"/>
            <a:t>7.15% in 2022</a:t>
          </a:r>
          <a:r>
            <a:rPr lang="en-IN" sz="1400"/>
            <a:t>. Overall, the data shows </a:t>
          </a:r>
          <a:r>
            <a:rPr lang="en-IN" sz="1400" b="1"/>
            <a:t>different inflation patterns across Food, Healthcare, and Essential Services before and after the COVID-19 period</a:t>
          </a:r>
          <a:r>
            <a:rPr lang="en-IN" sz="1400"/>
            <a:t>.</a:t>
          </a: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29</xdr:col>
      <xdr:colOff>47625</xdr:colOff>
      <xdr:row>0</xdr:row>
      <xdr:rowOff>9525</xdr:rowOff>
    </xdr:from>
    <xdr:to>
      <xdr:col>32</xdr:col>
      <xdr:colOff>19050</xdr:colOff>
      <xdr:row>34</xdr:row>
      <xdr:rowOff>0</xdr:rowOff>
    </xdr:to>
    <xdr:sp macro="" textlink="">
      <xdr:nvSpPr>
        <xdr:cNvPr id="3" name="TextBox 2">
          <a:extLst>
            <a:ext uri="{FF2B5EF4-FFF2-40B4-BE49-F238E27FC236}">
              <a16:creationId xmlns:a16="http://schemas.microsoft.com/office/drawing/2014/main" id="{CD59A79D-2395-BAE2-2301-A50D44B08308}"/>
            </a:ext>
          </a:extLst>
        </xdr:cNvPr>
        <xdr:cNvSpPr txBox="1"/>
      </xdr:nvSpPr>
      <xdr:spPr>
        <a:xfrm>
          <a:off x="15992475" y="9525"/>
          <a:ext cx="1771650" cy="6143625"/>
        </a:xfrm>
        <a:prstGeom prst="rect">
          <a:avLst/>
        </a:prstGeom>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1100"/>
            <a:t>   </a:t>
          </a:r>
          <a:r>
            <a:rPr lang="en-IN" sz="1600" b="1"/>
            <a:t>THEORY</a:t>
          </a:r>
          <a:br>
            <a:rPr lang="en-IN" sz="1600" b="1"/>
          </a:br>
          <a:r>
            <a:rPr lang="en-IN" sz="1200"/>
            <a:t>This table shows the </a:t>
          </a:r>
          <a:r>
            <a:rPr lang="en-IN" sz="1200" b="1"/>
            <a:t>correlation between monthly changes in Indian Basket crude oil prices and changes in different CPI categories during 2021–2023</a:t>
          </a:r>
          <a:r>
            <a:rPr lang="en-IN" sz="1200"/>
            <a:t>. The correlation values indicate the direction and strength of the relationship between crude oil price movements and inflation across categories. The results show that </a:t>
          </a:r>
          <a:r>
            <a:rPr lang="en-IN" sz="1200" b="1"/>
            <a:t>Fuel and light has the strongest negative correlation (-0.501)</a:t>
          </a:r>
          <a:r>
            <a:rPr lang="en-IN" sz="1200"/>
            <a:t> among the listed categories, while </a:t>
          </a:r>
          <a:r>
            <a:rPr lang="en-IN" sz="1200" b="1"/>
            <a:t>Vegetables has a correlation close to zero (-0.017)</a:t>
          </a:r>
          <a:r>
            <a:rPr lang="en-IN" sz="1200"/>
            <a:t>, indicating a very weak linear relationship. Overall, the table helps identify which CPI categories show stronger associations with fluctuations in crude oil prices.</a:t>
          </a:r>
          <a:endParaRPr lang="en-IN" sz="1100" b="1"/>
        </a:p>
      </xdr:txBody>
    </xdr:sp>
    <xdr:clientData/>
  </xdr:twoCellAnchor>
  <xdr:twoCellAnchor>
    <xdr:from>
      <xdr:col>29</xdr:col>
      <xdr:colOff>38100</xdr:colOff>
      <xdr:row>36</xdr:row>
      <xdr:rowOff>0</xdr:rowOff>
    </xdr:from>
    <xdr:to>
      <xdr:col>31</xdr:col>
      <xdr:colOff>590550</xdr:colOff>
      <xdr:row>69</xdr:row>
      <xdr:rowOff>171450</xdr:rowOff>
    </xdr:to>
    <xdr:sp macro="" textlink="">
      <xdr:nvSpPr>
        <xdr:cNvPr id="2" name="TextBox 1">
          <a:extLst>
            <a:ext uri="{FF2B5EF4-FFF2-40B4-BE49-F238E27FC236}">
              <a16:creationId xmlns:a16="http://schemas.microsoft.com/office/drawing/2014/main" id="{D99C5055-4A7E-E797-2A8B-9184060B1D92}"/>
            </a:ext>
          </a:extLst>
        </xdr:cNvPr>
        <xdr:cNvSpPr txBox="1"/>
      </xdr:nvSpPr>
      <xdr:spPr>
        <a:xfrm>
          <a:off x="15982950" y="6515100"/>
          <a:ext cx="1752600" cy="6172200"/>
        </a:xfrm>
        <a:prstGeom prst="rect">
          <a:avLst/>
        </a:prstGeom>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1100"/>
            <a:t>   </a:t>
          </a:r>
          <a:r>
            <a:rPr lang="en-IN" sz="1600" b="1"/>
            <a:t>THEORY</a:t>
          </a:r>
          <a:br>
            <a:rPr lang="en-IN" sz="1600" b="1"/>
          </a:br>
          <a:r>
            <a:rPr lang="en-IN" sz="1200"/>
            <a:t>This table shows the </a:t>
          </a:r>
          <a:r>
            <a:rPr lang="en-IN" sz="1200" b="1"/>
            <a:t>correlation between Crude Oil Price MoM% changes and CPI categories in the Urban Sector</a:t>
          </a:r>
          <a:r>
            <a:rPr lang="en-IN" sz="1200"/>
            <a:t>. The correlation values are </a:t>
          </a:r>
          <a:r>
            <a:rPr lang="en-IN" sz="1200" b="1"/>
            <a:t>negative for all categories</a:t>
          </a:r>
          <a:r>
            <a:rPr lang="en-IN" sz="1200"/>
            <a:t>, indicating an inverse relationship between crude oil price changes and the CPI movement of these categories during the study period. The correlation ranges approximately from </a:t>
          </a:r>
          <a:r>
            <a:rPr lang="en-IN" sz="1200" b="1"/>
            <a:t>-0.07 to -0.54</a:t>
          </a:r>
          <a:r>
            <a:rPr lang="en-IN" sz="1200"/>
            <a:t>, with categories such as </a:t>
          </a:r>
          <a:r>
            <a:rPr lang="en-IN" sz="1200" b="1"/>
            <a:t>Fuel and Light, Housing, Transport and Communication, and Vegetables</a:t>
          </a:r>
          <a:r>
            <a:rPr lang="en-IN" sz="1200"/>
            <a:t> showing relatively stronger negative relationships. Overall, the results suggest that changes in crude oil prices did not move in the same direction as most Urban CPI categories in this dataset.</a:t>
          </a:r>
          <a:endParaRPr lang="en-IN" sz="1100" b="1"/>
        </a:p>
      </xdr:txBody>
    </xdr:sp>
    <xdr:clientData/>
  </xdr:twoCellAnchor>
  <xdr:twoCellAnchor>
    <xdr:from>
      <xdr:col>29</xdr:col>
      <xdr:colOff>28575</xdr:colOff>
      <xdr:row>71</xdr:row>
      <xdr:rowOff>180974</xdr:rowOff>
    </xdr:from>
    <xdr:to>
      <xdr:col>31</xdr:col>
      <xdr:colOff>590550</xdr:colOff>
      <xdr:row>107</xdr:row>
      <xdr:rowOff>19049</xdr:rowOff>
    </xdr:to>
    <xdr:sp macro="" textlink="">
      <xdr:nvSpPr>
        <xdr:cNvPr id="4" name="TextBox 3">
          <a:extLst>
            <a:ext uri="{FF2B5EF4-FFF2-40B4-BE49-F238E27FC236}">
              <a16:creationId xmlns:a16="http://schemas.microsoft.com/office/drawing/2014/main" id="{E9D047BB-70FE-6DB8-5915-E2809BA2E5C2}"/>
            </a:ext>
          </a:extLst>
        </xdr:cNvPr>
        <xdr:cNvSpPr txBox="1"/>
      </xdr:nvSpPr>
      <xdr:spPr>
        <a:xfrm>
          <a:off x="15973425" y="13058774"/>
          <a:ext cx="1762125" cy="6353175"/>
        </a:xfrm>
        <a:prstGeom prst="rect">
          <a:avLst/>
        </a:prstGeom>
        <a:solidFill>
          <a:schemeClr val="accent4">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100"/>
            <a:t>          </a:t>
          </a:r>
          <a:r>
            <a:rPr lang="en-IN" sz="1100" baseline="0"/>
            <a:t> </a:t>
          </a:r>
          <a:r>
            <a:rPr lang="en-IN" sz="1100"/>
            <a:t>       </a:t>
          </a:r>
          <a:r>
            <a:rPr lang="en-IN" sz="1600" b="1"/>
            <a:t>THEORY</a:t>
          </a:r>
          <a:br>
            <a:rPr lang="en-IN" sz="1600" b="1"/>
          </a:br>
          <a:r>
            <a:rPr lang="en-IN" sz="1200"/>
            <a:t>This table shows the </a:t>
          </a:r>
          <a:r>
            <a:rPr lang="en-IN" sz="1200" b="1"/>
            <a:t>correlation between Crude Oil Price MoM% changes and different CPI categories for the Rural + Urban sector</a:t>
          </a:r>
          <a:r>
            <a:rPr lang="en-IN" sz="1200"/>
            <a:t>. The correlation values are </a:t>
          </a:r>
          <a:r>
            <a:rPr lang="en-IN" sz="1200" b="1"/>
            <a:t>negative across all categories</a:t>
          </a:r>
          <a:r>
            <a:rPr lang="en-IN" sz="1200"/>
            <a:t>, ranging from approximately </a:t>
          </a:r>
          <a:r>
            <a:rPr lang="en-IN" sz="1200" b="1"/>
            <a:t>-0.04 to -0.52</a:t>
          </a:r>
          <a:r>
            <a:rPr lang="en-IN" sz="1200"/>
            <a:t>, which indicates an inverse relationship between crude oil price changes and CPI category movements in the given dataset. </a:t>
          </a:r>
          <a:r>
            <a:rPr lang="en-IN" sz="1200" b="1"/>
            <a:t>Housing (-0.5192), Household Goods and Services (-0.4878), Spices (-0.4838), and Vegetables (-0.4673)</a:t>
          </a:r>
          <a:r>
            <a:rPr lang="en-IN" sz="1200"/>
            <a:t> show relatively stronger negative correlations, while </a:t>
          </a:r>
          <a:r>
            <a:rPr lang="en-IN" sz="1200" b="1"/>
            <a:t>Fruits (-0.0351)</a:t>
          </a:r>
          <a:r>
            <a:rPr lang="en-IN" sz="1200"/>
            <a:t> shows a very weak relationship. Overall, the results indicate that crude oil price changes generally moved in the opposite direction to most CPI categories during the study period.</a:t>
          </a:r>
          <a:endParaRPr lang="en-IN" sz="1100" b="1"/>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7A6CFF-BA59-4CCA-A7EF-304E8E372B10}" name="Table13" displayName="Table13" ref="A3:B9" totalsRowShown="0">
  <autoFilter ref="A3:B9" xr:uid="{1973C8D0-41CE-4A72-A0D7-5675AD807E1A}"/>
  <tableColumns count="2">
    <tableColumn id="1" xr3:uid="{12D4B020-48A3-4ABA-856C-555D038A03A9}" name="                                         YEAR"/>
    <tableColumn id="2" xr3:uid="{464138BB-2209-4EEA-9784-3C37B699CD5E}" name="ANNUAL Y-O-Y" dataDxfId="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5D284C-B7FE-4BCB-9706-0DF7BE538019}" name="Table2" displayName="Table2" ref="A3:F15" totalsRowShown="0" headerRowDxfId="44" headerRowBorderDxfId="43" tableBorderDxfId="42" totalsRowBorderDxfId="41">
  <autoFilter ref="A3:F15" xr:uid="{175D284C-B7FE-4BCB-9706-0DF7BE538019}"/>
  <tableColumns count="6">
    <tableColumn id="1" xr3:uid="{F51FA9B1-4FAD-456C-B29E-0DB2896E7A1D}" name="Year" dataDxfId="40"/>
    <tableColumn id="2" xr3:uid="{5BCB2DA3-D4C9-4C91-BC2A-B95DE836FCCD}" name="Month" dataDxfId="39"/>
    <tableColumn id="3" xr3:uid="{F81AF577-26B7-4756-B767-F557098CEDB0}" name="Food Categories Average" dataDxfId="38"/>
    <tableColumn id="4" xr3:uid="{8AA1FD54-1874-431F-813E-2547688D6AF2}" name="Previous Month Index" dataDxfId="37"/>
    <tableColumn id="5" xr3:uid="{08ADB890-88CD-4F95-871E-93780033EDB3}" name=" MoM Change" dataDxfId="36">
      <calculatedColumnFormula>C4-D4</calculatedColumnFormula>
    </tableColumn>
    <tableColumn id="6" xr3:uid="{870F60DD-E1F8-4F7B-98AF-3E9282629CC6}" name="MoM Inflation %" dataDxfId="35">
      <calculatedColumnFormula>E4/D4*100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AC6F56-D95A-4838-9FF3-F66F0F5EFA9C}" name="Table24" displayName="Table24" ref="A32:F44" totalsRowShown="0" headerRowDxfId="34" headerRowBorderDxfId="33" tableBorderDxfId="32" totalsRowBorderDxfId="31">
  <autoFilter ref="A32:F44" xr:uid="{CBAC6F56-D95A-4838-9FF3-F66F0F5EFA9C}"/>
  <tableColumns count="6">
    <tableColumn id="1" xr3:uid="{D49A0792-11A1-456C-B2E6-FEB733F55024}" name="Year" dataDxfId="30"/>
    <tableColumn id="2" xr3:uid="{22ED75FE-CDF7-408E-AE0A-41779D98A36D}" name="Month" dataDxfId="29"/>
    <tableColumn id="3" xr3:uid="{2EFB97CB-5A9C-4A49-B39B-AFD09F20ED82}" name="Food Categories Average" dataDxfId="28"/>
    <tableColumn id="4" xr3:uid="{0BEA5320-BAAE-4FF9-97C3-65AB5C26DD2D}" name="Previous Month Index" dataDxfId="27"/>
    <tableColumn id="5" xr3:uid="{253513FC-B32D-437E-B37E-4712888D84F1}" name=" MoM Change" dataDxfId="26">
      <calculatedColumnFormula>C33-D33</calculatedColumnFormula>
    </tableColumn>
    <tableColumn id="6" xr3:uid="{8D5E6B21-F244-4B42-AFC5-58542B318541}" name="MoM Inflation %" dataDxfId="25">
      <calculatedColumnFormula>E33/D33*100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EFD1C9-9B16-4C54-91F8-23F9687BF84F}" name="Table245" displayName="Table245" ref="A61:F73" totalsRowShown="0" headerRowDxfId="24" headerRowBorderDxfId="23" tableBorderDxfId="22" totalsRowBorderDxfId="21">
  <autoFilter ref="A61:F73" xr:uid="{C0EFD1C9-9B16-4C54-91F8-23F9687BF84F}"/>
  <tableColumns count="6">
    <tableColumn id="1" xr3:uid="{BC0B1E4B-3F5D-420A-A542-22F35F39970B}" name="Year" dataDxfId="20"/>
    <tableColumn id="2" xr3:uid="{8AA6F150-DEEE-4662-9BED-EBA78878B51F}" name="Month" dataDxfId="19"/>
    <tableColumn id="3" xr3:uid="{2D289B76-F772-447F-9986-D074B7E890EC}" name="Food Categories Average" dataDxfId="18"/>
    <tableColumn id="4" xr3:uid="{2669B14F-3B9E-43A1-8877-1F5AF4A9F831}" name="Previous Month Index" dataDxfId="17"/>
    <tableColumn id="5" xr3:uid="{D1937382-9C31-4934-97EC-36E9B0CF9A2C}" name=" MoM Change" dataDxfId="16">
      <calculatedColumnFormula>C62-D62</calculatedColumnFormula>
    </tableColumn>
    <tableColumn id="6" xr3:uid="{40B30C70-4843-4622-84A0-1E6799942638}" name="MoM Inflation %" dataDxfId="15">
      <calculatedColumnFormula>E62/D62*100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D68BFB-9703-4583-BC32-A41AFB6FD60C}" name="Table5" displayName="Table5" ref="A3:H11" totalsRowShown="0" headerRowDxfId="14">
  <autoFilter ref="A3:H11" xr:uid="{4ED68BFB-9703-4583-BC32-A41AFB6FD60C}"/>
  <tableColumns count="8">
    <tableColumn id="1" xr3:uid="{6D0D95D9-DAD0-44CD-847C-21BBA0BE0F0C}" name="Year"/>
    <tableColumn id="2" xr3:uid="{5A673C00-DE55-4BDC-850C-44C403DB7C9B}" name="Month" dataDxfId="13"/>
    <tableColumn id="3" xr3:uid="{DE1A10C7-AEEB-4863-AB96-59A970D406BD}" name="Food Categories(Total)"/>
    <tableColumn id="4" xr3:uid="{5B250EA6-6B93-4C39-A953-F8B962F91792}" name="Inflation Rate(Food)" dataDxfId="12">
      <calculatedColumnFormula>(C4/C3)-1</calculatedColumnFormula>
    </tableColumn>
    <tableColumn id="5" xr3:uid="{6A8018B1-94B1-4B3A-A232-49D18D946064}" name="Health"/>
    <tableColumn id="6" xr3:uid="{C74BB2B5-A9D3-4069-B16C-0BBF403BBDBD}" name="Inflation Rate(Health)" dataDxfId="11">
      <calculatedColumnFormula>(E4/E3)-1</calculatedColumnFormula>
    </tableColumn>
    <tableColumn id="7" xr3:uid="{43BBD23A-40A1-408B-9998-C5C7E75957BB}" name="Essential Service"/>
    <tableColumn id="8" xr3:uid="{8D0498E6-6918-49F8-BCBC-53F8657EC4FD}" name="Inflation Rate(Essential Service)" dataDxfId="10">
      <calculatedColumnFormula>(G4/G3)-1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2C26704-1262-4A03-8801-8CB13B037805}" name="Table57" displayName="Table57" ref="A32:H40" totalsRowShown="0" headerRowDxfId="9">
  <autoFilter ref="A32:H40" xr:uid="{D2C26704-1262-4A03-8801-8CB13B037805}"/>
  <tableColumns count="8">
    <tableColumn id="1" xr3:uid="{EA59CABC-EA5E-473E-8FFA-2A0C5DF5FE6E}" name="Year"/>
    <tableColumn id="2" xr3:uid="{A731C367-4675-4C7E-AD2B-CB25C0A0A019}" name="Month" dataDxfId="8"/>
    <tableColumn id="3" xr3:uid="{EC03B2ED-5CBB-46C6-8A4D-9B2D67E5AC20}" name="Food Categories(Total)"/>
    <tableColumn id="4" xr3:uid="{55536ECB-1390-40F3-8C32-F36F682A067C}" name="Inflation Rate(Food)" dataDxfId="7">
      <calculatedColumnFormula>(C33/C32)-1</calculatedColumnFormula>
    </tableColumn>
    <tableColumn id="5" xr3:uid="{AF7683D5-999E-4853-86BF-9D23FC8AE254}" name="Health"/>
    <tableColumn id="6" xr3:uid="{D75EFEDF-EF5B-4F73-8F7D-A4619FC48EFD}" name="Inflation Rate(Health)" dataDxfId="6">
      <calculatedColumnFormula>(E33/E32)-1</calculatedColumnFormula>
    </tableColumn>
    <tableColumn id="7" xr3:uid="{78C9375B-B078-4268-976E-576A5E47277B}" name="Essential Service"/>
    <tableColumn id="8" xr3:uid="{C9547F84-4D41-4C27-BFB6-50127CECEB47}" name="Inflation Rate(Essential Service)" dataDxfId="5">
      <calculatedColumnFormula>(G33/G32)-1</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C8FE537-6AD3-4712-9E31-90F0C125D66C}" name="Table578" displayName="Table578" ref="A61:H69" totalsRowShown="0" headerRowDxfId="4">
  <autoFilter ref="A61:H69" xr:uid="{CC8FE537-6AD3-4712-9E31-90F0C125D66C}"/>
  <tableColumns count="8">
    <tableColumn id="1" xr3:uid="{00A81B8E-C31E-407C-9268-44BABD5062D5}" name="Year"/>
    <tableColumn id="2" xr3:uid="{4EA24223-59DA-43C9-90D3-B13FF4F51B26}" name="Month" dataDxfId="3"/>
    <tableColumn id="3" xr3:uid="{C2DA8E08-569D-4671-8AFD-A565A771E106}" name="Food Categories(Total)"/>
    <tableColumn id="4" xr3:uid="{1F1C135D-405A-45A8-A2D8-0609F2EB8998}" name="Inflation Rate(Food)" dataDxfId="2">
      <calculatedColumnFormula>(C62/C61)-1</calculatedColumnFormula>
    </tableColumn>
    <tableColumn id="5" xr3:uid="{7C80005F-50BD-47A7-A210-5B16EBDE0135}" name="Health"/>
    <tableColumn id="6" xr3:uid="{262FEA89-E246-44DA-9457-2077D32FAC46}" name="Inflation Rate(Health)" dataDxfId="1">
      <calculatedColumnFormula>(E62/E61)-1</calculatedColumnFormula>
    </tableColumn>
    <tableColumn id="7" xr3:uid="{72FF2F45-688B-4CA8-AD44-77DD241E5499}" name="Essential Service"/>
    <tableColumn id="8" xr3:uid="{1A82E547-07FE-4DFE-BF2B-87EDE7B87D36}" name="Inflation Rate(Essential Service)" dataDxfId="0">
      <calculatedColumnFormula>(G62/G61)-1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0C3767B-E70E-4116-B130-2764E8BDD1DA}">
  <we:reference id="wa200005502" version="1.0.0.13" store="en-US" storeType="OMEX"/>
  <we:alternateReferences>
    <we:reference id="WA200005502" version="1.0.0.13"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3.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4.xml"/><Relationship Id="rId4" Type="http://schemas.openxmlformats.org/officeDocument/2006/relationships/table" Target="../tables/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D3844-E027-4CB1-BDC0-484DAF28AF9C}">
  <dimension ref="A1:AD370"/>
  <sheetViews>
    <sheetView tabSelected="1" zoomScale="76" zoomScaleNormal="76" workbookViewId="0">
      <selection activeCell="K358" sqref="K358"/>
    </sheetView>
  </sheetViews>
  <sheetFormatPr defaultRowHeight="14.4" x14ac:dyDescent="0.3"/>
  <cols>
    <col min="1" max="29" width="8.77734375" customWidth="1"/>
    <col min="30" max="30" width="12.2187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57</v>
      </c>
      <c r="P1" t="s">
        <v>14</v>
      </c>
      <c r="Q1" t="s">
        <v>15</v>
      </c>
      <c r="R1" t="s">
        <v>16</v>
      </c>
      <c r="S1" t="s">
        <v>17</v>
      </c>
      <c r="T1" t="s">
        <v>18</v>
      </c>
      <c r="U1" t="s">
        <v>19</v>
      </c>
      <c r="V1" t="s">
        <v>20</v>
      </c>
      <c r="W1" t="s">
        <v>21</v>
      </c>
      <c r="X1" t="s">
        <v>22</v>
      </c>
      <c r="Y1" t="s">
        <v>23</v>
      </c>
      <c r="Z1" t="s">
        <v>24</v>
      </c>
      <c r="AA1" t="s">
        <v>25</v>
      </c>
      <c r="AB1" t="s">
        <v>56</v>
      </c>
      <c r="AC1" t="s">
        <v>26</v>
      </c>
      <c r="AD1" t="s">
        <v>27</v>
      </c>
    </row>
    <row r="2" spans="1:30" x14ac:dyDescent="0.3">
      <c r="A2" t="s">
        <v>28</v>
      </c>
      <c r="B2">
        <v>2013</v>
      </c>
      <c r="C2" t="s">
        <v>29</v>
      </c>
      <c r="D2">
        <v>107.5</v>
      </c>
      <c r="E2">
        <v>106.3</v>
      </c>
      <c r="F2">
        <v>108.1</v>
      </c>
      <c r="G2">
        <v>104.9</v>
      </c>
      <c r="H2">
        <v>106.1</v>
      </c>
      <c r="I2">
        <v>103.9</v>
      </c>
      <c r="J2">
        <v>101.9</v>
      </c>
      <c r="K2">
        <v>106.1</v>
      </c>
      <c r="L2">
        <v>106.8</v>
      </c>
      <c r="M2">
        <v>103.1</v>
      </c>
      <c r="N2">
        <v>104.8</v>
      </c>
      <c r="O2">
        <v>106.7</v>
      </c>
      <c r="P2">
        <v>105.5</v>
      </c>
      <c r="Q2">
        <v>105.1</v>
      </c>
      <c r="R2">
        <v>106.5</v>
      </c>
      <c r="S2">
        <v>105.8</v>
      </c>
      <c r="T2">
        <v>106.4</v>
      </c>
      <c r="U2" t="s">
        <v>30</v>
      </c>
      <c r="V2">
        <v>105.5</v>
      </c>
      <c r="W2">
        <v>104.8</v>
      </c>
      <c r="X2">
        <v>104</v>
      </c>
      <c r="Y2">
        <v>103.3</v>
      </c>
      <c r="Z2">
        <v>103.4</v>
      </c>
      <c r="AA2">
        <v>103.8</v>
      </c>
      <c r="AB2">
        <v>104.7</v>
      </c>
      <c r="AC2">
        <v>104</v>
      </c>
      <c r="AD2">
        <v>105.1</v>
      </c>
    </row>
    <row r="3" spans="1:30" x14ac:dyDescent="0.3">
      <c r="A3" t="s">
        <v>31</v>
      </c>
      <c r="B3">
        <v>2013</v>
      </c>
      <c r="C3" t="s">
        <v>29</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32</v>
      </c>
      <c r="B4">
        <v>2013</v>
      </c>
      <c r="C4" t="s">
        <v>29</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28</v>
      </c>
      <c r="B5">
        <v>2013</v>
      </c>
      <c r="C5" t="s">
        <v>33</v>
      </c>
      <c r="D5">
        <v>109.2</v>
      </c>
      <c r="E5">
        <v>108.7</v>
      </c>
      <c r="F5">
        <v>110.2</v>
      </c>
      <c r="G5">
        <v>105.4</v>
      </c>
      <c r="H5">
        <v>106.7</v>
      </c>
      <c r="I5">
        <v>104</v>
      </c>
      <c r="J5">
        <v>102.4</v>
      </c>
      <c r="K5">
        <v>105.9</v>
      </c>
      <c r="L5">
        <v>105.7</v>
      </c>
      <c r="M5">
        <v>103.1</v>
      </c>
      <c r="N5">
        <v>105.1</v>
      </c>
      <c r="O5">
        <v>107.7</v>
      </c>
      <c r="P5">
        <v>106.3</v>
      </c>
      <c r="Q5">
        <v>105.6</v>
      </c>
      <c r="R5">
        <v>107.1</v>
      </c>
      <c r="S5">
        <v>106.3</v>
      </c>
      <c r="T5">
        <v>107</v>
      </c>
      <c r="U5" t="s">
        <v>30</v>
      </c>
      <c r="V5">
        <v>106.2</v>
      </c>
      <c r="W5">
        <v>105.2</v>
      </c>
      <c r="X5">
        <v>104.4</v>
      </c>
      <c r="Y5">
        <v>103.9</v>
      </c>
      <c r="Z5">
        <v>104</v>
      </c>
      <c r="AA5">
        <v>104.1</v>
      </c>
      <c r="AB5">
        <v>104.6</v>
      </c>
      <c r="AC5">
        <v>104.4</v>
      </c>
      <c r="AD5">
        <v>105.8</v>
      </c>
    </row>
    <row r="6" spans="1:30" x14ac:dyDescent="0.3">
      <c r="A6" t="s">
        <v>31</v>
      </c>
      <c r="B6">
        <v>2013</v>
      </c>
      <c r="C6" t="s">
        <v>33</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32</v>
      </c>
      <c r="B7">
        <v>2013</v>
      </c>
      <c r="C7" t="s">
        <v>33</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28</v>
      </c>
      <c r="B8">
        <v>2013</v>
      </c>
      <c r="C8" t="s">
        <v>34</v>
      </c>
      <c r="D8">
        <v>110.2</v>
      </c>
      <c r="E8">
        <v>108.8</v>
      </c>
      <c r="F8">
        <v>109.9</v>
      </c>
      <c r="G8">
        <v>105.6</v>
      </c>
      <c r="H8">
        <v>106.2</v>
      </c>
      <c r="I8">
        <v>105.7</v>
      </c>
      <c r="J8">
        <v>101.4</v>
      </c>
      <c r="K8">
        <v>105.7</v>
      </c>
      <c r="L8">
        <v>105</v>
      </c>
      <c r="M8">
        <v>103.3</v>
      </c>
      <c r="N8">
        <v>105.6</v>
      </c>
      <c r="O8">
        <v>108.2</v>
      </c>
      <c r="P8">
        <v>106.6</v>
      </c>
      <c r="Q8">
        <v>106.5</v>
      </c>
      <c r="R8">
        <v>107.6</v>
      </c>
      <c r="S8">
        <v>106.8</v>
      </c>
      <c r="T8">
        <v>107.5</v>
      </c>
      <c r="U8" t="s">
        <v>30</v>
      </c>
      <c r="V8">
        <v>106.1</v>
      </c>
      <c r="W8">
        <v>105.6</v>
      </c>
      <c r="X8">
        <v>104.7</v>
      </c>
      <c r="Y8">
        <v>104.6</v>
      </c>
      <c r="Z8">
        <v>104</v>
      </c>
      <c r="AA8">
        <v>104.3</v>
      </c>
      <c r="AB8">
        <v>104.3</v>
      </c>
      <c r="AC8">
        <v>104.6</v>
      </c>
      <c r="AD8">
        <v>106</v>
      </c>
    </row>
    <row r="9" spans="1:30" x14ac:dyDescent="0.3">
      <c r="A9" t="s">
        <v>31</v>
      </c>
      <c r="B9">
        <v>2013</v>
      </c>
      <c r="C9" t="s">
        <v>34</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32</v>
      </c>
      <c r="B10">
        <v>2013</v>
      </c>
      <c r="C10" t="s">
        <v>34</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28</v>
      </c>
      <c r="B11">
        <v>2013</v>
      </c>
      <c r="C11" t="s">
        <v>35</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30</v>
      </c>
      <c r="V11">
        <v>106.5</v>
      </c>
      <c r="W11">
        <v>106.1</v>
      </c>
      <c r="X11">
        <v>105.1</v>
      </c>
      <c r="Y11">
        <v>104.4</v>
      </c>
      <c r="Z11">
        <v>104.5</v>
      </c>
      <c r="AA11">
        <v>104.8</v>
      </c>
      <c r="AB11">
        <v>102.7</v>
      </c>
      <c r="AC11">
        <v>104.6</v>
      </c>
      <c r="AD11">
        <v>106.4</v>
      </c>
    </row>
    <row r="12" spans="1:30" x14ac:dyDescent="0.3">
      <c r="A12" t="s">
        <v>31</v>
      </c>
      <c r="B12">
        <v>2013</v>
      </c>
      <c r="C12" t="s">
        <v>35</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32</v>
      </c>
      <c r="B13">
        <v>2013</v>
      </c>
      <c r="C13" t="s">
        <v>35</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28</v>
      </c>
      <c r="B14">
        <v>2013</v>
      </c>
      <c r="C14" t="s">
        <v>36</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30</v>
      </c>
      <c r="V14">
        <v>107.5</v>
      </c>
      <c r="W14">
        <v>106.8</v>
      </c>
      <c r="X14">
        <v>105.7</v>
      </c>
      <c r="Y14">
        <v>104.1</v>
      </c>
      <c r="Z14">
        <v>105</v>
      </c>
      <c r="AA14">
        <v>105.5</v>
      </c>
      <c r="AB14">
        <v>102.1</v>
      </c>
      <c r="AC14">
        <v>104.8</v>
      </c>
      <c r="AD14">
        <v>107.2</v>
      </c>
    </row>
    <row r="15" spans="1:30" x14ac:dyDescent="0.3">
      <c r="A15" t="s">
        <v>31</v>
      </c>
      <c r="B15">
        <v>2013</v>
      </c>
      <c r="C15" t="s">
        <v>36</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32</v>
      </c>
      <c r="B16">
        <v>2013</v>
      </c>
      <c r="C16" t="s">
        <v>36</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28</v>
      </c>
      <c r="B17">
        <v>2013</v>
      </c>
      <c r="C17" t="s">
        <v>37</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30</v>
      </c>
      <c r="V17">
        <v>108.5</v>
      </c>
      <c r="W17">
        <v>107.5</v>
      </c>
      <c r="X17">
        <v>106.3</v>
      </c>
      <c r="Y17">
        <v>105</v>
      </c>
      <c r="Z17">
        <v>105.6</v>
      </c>
      <c r="AA17">
        <v>106.5</v>
      </c>
      <c r="AB17">
        <v>102.5</v>
      </c>
      <c r="AC17">
        <v>105.5</v>
      </c>
      <c r="AD17">
        <v>108.9</v>
      </c>
    </row>
    <row r="18" spans="1:30" x14ac:dyDescent="0.3">
      <c r="A18" t="s">
        <v>31</v>
      </c>
      <c r="B18">
        <v>2013</v>
      </c>
      <c r="C18" t="s">
        <v>37</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32</v>
      </c>
      <c r="B19">
        <v>2013</v>
      </c>
      <c r="C19" t="s">
        <v>37</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28</v>
      </c>
      <c r="B20">
        <v>2013</v>
      </c>
      <c r="C20" t="s">
        <v>38</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30</v>
      </c>
      <c r="V20">
        <v>109.5</v>
      </c>
      <c r="W20">
        <v>108.3</v>
      </c>
      <c r="X20">
        <v>106.9</v>
      </c>
      <c r="Y20">
        <v>106.8</v>
      </c>
      <c r="Z20">
        <v>106.4</v>
      </c>
      <c r="AA20">
        <v>107.8</v>
      </c>
      <c r="AB20">
        <v>102.5</v>
      </c>
      <c r="AC20">
        <v>106.5</v>
      </c>
      <c r="AD20">
        <v>110.7</v>
      </c>
    </row>
    <row r="21" spans="1:30" x14ac:dyDescent="0.3">
      <c r="A21" t="s">
        <v>31</v>
      </c>
      <c r="B21">
        <v>2013</v>
      </c>
      <c r="C21" t="s">
        <v>38</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32</v>
      </c>
      <c r="B22">
        <v>2013</v>
      </c>
      <c r="C22" t="s">
        <v>38</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28</v>
      </c>
      <c r="B23">
        <v>2013</v>
      </c>
      <c r="C23" t="s">
        <v>39</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30</v>
      </c>
      <c r="V23">
        <v>109.9</v>
      </c>
      <c r="W23">
        <v>108.7</v>
      </c>
      <c r="X23">
        <v>107.5</v>
      </c>
      <c r="Y23">
        <v>107.8</v>
      </c>
      <c r="Z23">
        <v>106.8</v>
      </c>
      <c r="AA23">
        <v>108.7</v>
      </c>
      <c r="AB23">
        <v>105</v>
      </c>
      <c r="AC23">
        <v>107.5</v>
      </c>
      <c r="AD23">
        <v>112.1</v>
      </c>
    </row>
    <row r="24" spans="1:30" x14ac:dyDescent="0.3">
      <c r="A24" t="s">
        <v>31</v>
      </c>
      <c r="B24">
        <v>2013</v>
      </c>
      <c r="C24" t="s">
        <v>39</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32</v>
      </c>
      <c r="B25">
        <v>2013</v>
      </c>
      <c r="C25" t="s">
        <v>39</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28</v>
      </c>
      <c r="B26">
        <v>2013</v>
      </c>
      <c r="C26" t="s">
        <v>40</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30</v>
      </c>
      <c r="V26">
        <v>111.1</v>
      </c>
      <c r="W26">
        <v>109.6</v>
      </c>
      <c r="X26">
        <v>108.3</v>
      </c>
      <c r="Y26">
        <v>109.3</v>
      </c>
      <c r="Z26">
        <v>107.7</v>
      </c>
      <c r="AA26">
        <v>109.8</v>
      </c>
      <c r="AB26">
        <v>106.7</v>
      </c>
      <c r="AC26">
        <v>108.7</v>
      </c>
      <c r="AD26">
        <v>114.2</v>
      </c>
    </row>
    <row r="27" spans="1:30" x14ac:dyDescent="0.3">
      <c r="A27" t="s">
        <v>31</v>
      </c>
      <c r="B27">
        <v>2013</v>
      </c>
      <c r="C27" t="s">
        <v>40</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32</v>
      </c>
      <c r="B28">
        <v>2013</v>
      </c>
      <c r="C28" t="s">
        <v>40</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28</v>
      </c>
      <c r="B29">
        <v>2013</v>
      </c>
      <c r="C29" t="s">
        <v>41</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30</v>
      </c>
      <c r="V29">
        <v>111.6</v>
      </c>
      <c r="W29">
        <v>110.4</v>
      </c>
      <c r="X29">
        <v>108.9</v>
      </c>
      <c r="Y29">
        <v>109.3</v>
      </c>
      <c r="Z29">
        <v>108.3</v>
      </c>
      <c r="AA29">
        <v>110.2</v>
      </c>
      <c r="AB29">
        <v>107.5</v>
      </c>
      <c r="AC29">
        <v>109.1</v>
      </c>
      <c r="AD29">
        <v>115.5</v>
      </c>
    </row>
    <row r="30" spans="1:30" x14ac:dyDescent="0.3">
      <c r="A30" t="s">
        <v>31</v>
      </c>
      <c r="B30">
        <v>2013</v>
      </c>
      <c r="C30" t="s">
        <v>41</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32</v>
      </c>
      <c r="B31">
        <v>2013</v>
      </c>
      <c r="C31" t="s">
        <v>41</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28</v>
      </c>
      <c r="B32">
        <v>2013</v>
      </c>
      <c r="C32" t="s">
        <v>42</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30</v>
      </c>
      <c r="V32">
        <v>112.6</v>
      </c>
      <c r="W32">
        <v>111.3</v>
      </c>
      <c r="X32">
        <v>109.7</v>
      </c>
      <c r="Y32">
        <v>109.6</v>
      </c>
      <c r="Z32">
        <v>108.7</v>
      </c>
      <c r="AA32">
        <v>111</v>
      </c>
      <c r="AB32">
        <v>108.2</v>
      </c>
      <c r="AC32">
        <v>109.8</v>
      </c>
      <c r="AD32">
        <v>117.4</v>
      </c>
    </row>
    <row r="33" spans="1:30" x14ac:dyDescent="0.3">
      <c r="A33" t="s">
        <v>31</v>
      </c>
      <c r="B33">
        <v>2013</v>
      </c>
      <c r="C33" t="s">
        <v>43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32</v>
      </c>
      <c r="B34">
        <v>2013</v>
      </c>
      <c r="C34" t="s">
        <v>43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28</v>
      </c>
      <c r="B35">
        <v>2013</v>
      </c>
      <c r="C35" t="s">
        <v>44</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30</v>
      </c>
      <c r="V35">
        <v>112.8</v>
      </c>
      <c r="W35">
        <v>112.1</v>
      </c>
      <c r="X35">
        <v>110.1</v>
      </c>
      <c r="Y35">
        <v>109.9</v>
      </c>
      <c r="Z35">
        <v>109.2</v>
      </c>
      <c r="AA35">
        <v>111.6</v>
      </c>
      <c r="AB35">
        <v>108.1</v>
      </c>
      <c r="AC35">
        <v>110.1</v>
      </c>
      <c r="AD35">
        <v>115.5</v>
      </c>
    </row>
    <row r="36" spans="1:30" x14ac:dyDescent="0.3">
      <c r="A36" t="s">
        <v>31</v>
      </c>
      <c r="B36">
        <v>2013</v>
      </c>
      <c r="C36" t="s">
        <v>44</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32</v>
      </c>
      <c r="B37">
        <v>2013</v>
      </c>
      <c r="C37" t="s">
        <v>44</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28</v>
      </c>
      <c r="B38">
        <v>2014</v>
      </c>
      <c r="C38" t="s">
        <v>29</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30</v>
      </c>
      <c r="V38">
        <v>113</v>
      </c>
      <c r="W38">
        <v>112.6</v>
      </c>
      <c r="X38">
        <v>110.6</v>
      </c>
      <c r="Y38">
        <v>110.5</v>
      </c>
      <c r="Z38">
        <v>109.6</v>
      </c>
      <c r="AA38">
        <v>111.8</v>
      </c>
      <c r="AB38">
        <v>108.3</v>
      </c>
      <c r="AC38">
        <v>110.6</v>
      </c>
      <c r="AD38">
        <v>114.2</v>
      </c>
    </row>
    <row r="39" spans="1:30" x14ac:dyDescent="0.3">
      <c r="A39" t="s">
        <v>31</v>
      </c>
      <c r="B39">
        <v>2014</v>
      </c>
      <c r="C39" t="s">
        <v>29</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32</v>
      </c>
      <c r="B40">
        <v>2014</v>
      </c>
      <c r="C40" t="s">
        <v>29</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28</v>
      </c>
      <c r="B41">
        <v>2014</v>
      </c>
      <c r="C41" t="s">
        <v>33</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30</v>
      </c>
      <c r="V41">
        <v>113.2</v>
      </c>
      <c r="W41">
        <v>112.9</v>
      </c>
      <c r="X41">
        <v>110.9</v>
      </c>
      <c r="Y41">
        <v>110.8</v>
      </c>
      <c r="Z41">
        <v>109.9</v>
      </c>
      <c r="AA41">
        <v>112</v>
      </c>
      <c r="AB41">
        <v>108.7</v>
      </c>
      <c r="AC41">
        <v>110.9</v>
      </c>
      <c r="AD41">
        <v>114</v>
      </c>
    </row>
    <row r="42" spans="1:30" x14ac:dyDescent="0.3">
      <c r="A42" t="s">
        <v>31</v>
      </c>
      <c r="B42">
        <v>2014</v>
      </c>
      <c r="C42" t="s">
        <v>33</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32</v>
      </c>
      <c r="B43">
        <v>2014</v>
      </c>
      <c r="C43" t="s">
        <v>33</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28</v>
      </c>
      <c r="B44">
        <v>2014</v>
      </c>
      <c r="C44" t="s">
        <v>34</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30</v>
      </c>
      <c r="V44">
        <v>113.4</v>
      </c>
      <c r="W44">
        <v>113.4</v>
      </c>
      <c r="X44">
        <v>111.4</v>
      </c>
      <c r="Y44">
        <v>111.2</v>
      </c>
      <c r="Z44">
        <v>110.2</v>
      </c>
      <c r="AA44">
        <v>112.4</v>
      </c>
      <c r="AB44">
        <v>108.9</v>
      </c>
      <c r="AC44">
        <v>111.3</v>
      </c>
      <c r="AD44">
        <v>114.6</v>
      </c>
    </row>
    <row r="45" spans="1:30" x14ac:dyDescent="0.3">
      <c r="A45" t="s">
        <v>31</v>
      </c>
      <c r="B45">
        <v>2014</v>
      </c>
      <c r="C45" t="s">
        <v>34</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32</v>
      </c>
      <c r="B46">
        <v>2014</v>
      </c>
      <c r="C46" t="s">
        <v>45</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28</v>
      </c>
      <c r="B47">
        <v>2014</v>
      </c>
      <c r="C47" t="s">
        <v>35</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30</v>
      </c>
      <c r="V47">
        <v>113.4</v>
      </c>
      <c r="W47">
        <v>113.7</v>
      </c>
      <c r="X47">
        <v>111.8</v>
      </c>
      <c r="Y47">
        <v>111.2</v>
      </c>
      <c r="Z47">
        <v>110.5</v>
      </c>
      <c r="AA47">
        <v>113</v>
      </c>
      <c r="AB47">
        <v>108.9</v>
      </c>
      <c r="AC47">
        <v>111.5</v>
      </c>
      <c r="AD47">
        <v>115.4</v>
      </c>
    </row>
    <row r="48" spans="1:30" x14ac:dyDescent="0.3">
      <c r="A48" t="s">
        <v>31</v>
      </c>
      <c r="B48">
        <v>2014</v>
      </c>
      <c r="C48" t="s">
        <v>35</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32</v>
      </c>
      <c r="B49">
        <v>2014</v>
      </c>
      <c r="C49" t="s">
        <v>35</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28</v>
      </c>
      <c r="B50">
        <v>2014</v>
      </c>
      <c r="C50" t="s">
        <v>36</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30</v>
      </c>
      <c r="V50">
        <v>113.4</v>
      </c>
      <c r="W50">
        <v>114.1</v>
      </c>
      <c r="X50">
        <v>112.1</v>
      </c>
      <c r="Y50">
        <v>111.4</v>
      </c>
      <c r="Z50">
        <v>110.9</v>
      </c>
      <c r="AA50">
        <v>113.1</v>
      </c>
      <c r="AB50">
        <v>108.9</v>
      </c>
      <c r="AC50">
        <v>111.8</v>
      </c>
      <c r="AD50">
        <v>116</v>
      </c>
    </row>
    <row r="51" spans="1:30" x14ac:dyDescent="0.3">
      <c r="A51" t="s">
        <v>31</v>
      </c>
      <c r="B51">
        <v>2014</v>
      </c>
      <c r="C51" t="s">
        <v>36</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32</v>
      </c>
      <c r="B52">
        <v>2014</v>
      </c>
      <c r="C52" t="s">
        <v>36</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28</v>
      </c>
      <c r="B53">
        <v>2014</v>
      </c>
      <c r="C53" t="s">
        <v>37</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30</v>
      </c>
      <c r="V53">
        <v>114.4</v>
      </c>
      <c r="W53">
        <v>114.9</v>
      </c>
      <c r="X53">
        <v>112.8</v>
      </c>
      <c r="Y53">
        <v>112.2</v>
      </c>
      <c r="Z53">
        <v>111.4</v>
      </c>
      <c r="AA53">
        <v>114.3</v>
      </c>
      <c r="AB53">
        <v>108</v>
      </c>
      <c r="AC53">
        <v>112.3</v>
      </c>
      <c r="AD53">
        <v>117</v>
      </c>
    </row>
    <row r="54" spans="1:30" x14ac:dyDescent="0.3">
      <c r="A54" t="s">
        <v>31</v>
      </c>
      <c r="B54">
        <v>2014</v>
      </c>
      <c r="C54" t="s">
        <v>37</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32</v>
      </c>
      <c r="B55">
        <v>2014</v>
      </c>
      <c r="C55" t="s">
        <v>37</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28</v>
      </c>
      <c r="B56">
        <v>2014</v>
      </c>
      <c r="C56" t="s">
        <v>38</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30</v>
      </c>
      <c r="V56">
        <v>115.3</v>
      </c>
      <c r="W56">
        <v>115.4</v>
      </c>
      <c r="X56">
        <v>113.4</v>
      </c>
      <c r="Y56">
        <v>113.2</v>
      </c>
      <c r="Z56">
        <v>111.8</v>
      </c>
      <c r="AA56">
        <v>115.5</v>
      </c>
      <c r="AB56">
        <v>108.8</v>
      </c>
      <c r="AC56">
        <v>113.1</v>
      </c>
      <c r="AD56">
        <v>119.5</v>
      </c>
    </row>
    <row r="57" spans="1:30" x14ac:dyDescent="0.3">
      <c r="A57" t="s">
        <v>31</v>
      </c>
      <c r="B57">
        <v>2014</v>
      </c>
      <c r="C57" t="s">
        <v>38</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32</v>
      </c>
      <c r="B58">
        <v>2014</v>
      </c>
      <c r="C58" t="s">
        <v>38</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28</v>
      </c>
      <c r="B59">
        <v>2014</v>
      </c>
      <c r="C59" t="s">
        <v>39</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30</v>
      </c>
      <c r="V59">
        <v>115.4</v>
      </c>
      <c r="W59">
        <v>115.9</v>
      </c>
      <c r="X59">
        <v>114</v>
      </c>
      <c r="Y59">
        <v>113.2</v>
      </c>
      <c r="Z59">
        <v>112.2</v>
      </c>
      <c r="AA59">
        <v>116.2</v>
      </c>
      <c r="AB59">
        <v>109.4</v>
      </c>
      <c r="AC59">
        <v>113.5</v>
      </c>
      <c r="AD59">
        <v>120.7</v>
      </c>
    </row>
    <row r="60" spans="1:30" x14ac:dyDescent="0.3">
      <c r="A60" t="s">
        <v>31</v>
      </c>
      <c r="B60">
        <v>2014</v>
      </c>
      <c r="C60" t="s">
        <v>39</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32</v>
      </c>
      <c r="B61">
        <v>2014</v>
      </c>
      <c r="C61" t="s">
        <v>39</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28</v>
      </c>
      <c r="B62">
        <v>2014</v>
      </c>
      <c r="C62" t="s">
        <v>40</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30</v>
      </c>
      <c r="V62">
        <v>115.8</v>
      </c>
      <c r="W62">
        <v>116.7</v>
      </c>
      <c r="X62">
        <v>114.5</v>
      </c>
      <c r="Y62">
        <v>112.8</v>
      </c>
      <c r="Z62">
        <v>112.6</v>
      </c>
      <c r="AA62">
        <v>116.6</v>
      </c>
      <c r="AB62">
        <v>109.1</v>
      </c>
      <c r="AC62">
        <v>113.7</v>
      </c>
      <c r="AD62">
        <v>120.9</v>
      </c>
    </row>
    <row r="63" spans="1:30" x14ac:dyDescent="0.3">
      <c r="A63" t="s">
        <v>31</v>
      </c>
      <c r="B63">
        <v>2014</v>
      </c>
      <c r="C63" t="s">
        <v>40</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32</v>
      </c>
      <c r="B64">
        <v>2014</v>
      </c>
      <c r="C64" t="s">
        <v>40</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28</v>
      </c>
      <c r="B65">
        <v>2014</v>
      </c>
      <c r="C65" t="s">
        <v>41</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30</v>
      </c>
      <c r="V65">
        <v>116.4</v>
      </c>
      <c r="W65">
        <v>117.5</v>
      </c>
      <c r="X65">
        <v>115.3</v>
      </c>
      <c r="Y65">
        <v>112.6</v>
      </c>
      <c r="Z65">
        <v>113</v>
      </c>
      <c r="AA65">
        <v>116.9</v>
      </c>
      <c r="AB65">
        <v>109.3</v>
      </c>
      <c r="AC65">
        <v>114</v>
      </c>
      <c r="AD65">
        <v>121</v>
      </c>
    </row>
    <row r="66" spans="1:30" x14ac:dyDescent="0.3">
      <c r="A66" t="s">
        <v>31</v>
      </c>
      <c r="B66">
        <v>2014</v>
      </c>
      <c r="C66" t="s">
        <v>41</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32</v>
      </c>
      <c r="B67">
        <v>2014</v>
      </c>
      <c r="C67" t="s">
        <v>41</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28</v>
      </c>
      <c r="B68">
        <v>2014</v>
      </c>
      <c r="C68" t="s">
        <v>43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30</v>
      </c>
      <c r="V68">
        <v>117.3</v>
      </c>
      <c r="W68">
        <v>118.1</v>
      </c>
      <c r="X68">
        <v>115.9</v>
      </c>
      <c r="Y68">
        <v>112</v>
      </c>
      <c r="Z68">
        <v>113.3</v>
      </c>
      <c r="AA68">
        <v>117.2</v>
      </c>
      <c r="AB68">
        <v>108.8</v>
      </c>
      <c r="AC68">
        <v>114.1</v>
      </c>
      <c r="AD68">
        <v>121.1</v>
      </c>
    </row>
    <row r="69" spans="1:30" x14ac:dyDescent="0.3">
      <c r="A69" t="s">
        <v>31</v>
      </c>
      <c r="B69">
        <v>2014</v>
      </c>
      <c r="C69" t="s">
        <v>43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32</v>
      </c>
      <c r="B70">
        <v>2014</v>
      </c>
      <c r="C70" t="s">
        <v>43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28</v>
      </c>
      <c r="B71">
        <v>2014</v>
      </c>
      <c r="C71" t="s">
        <v>44</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30</v>
      </c>
      <c r="V71">
        <v>117.4</v>
      </c>
      <c r="W71">
        <v>118.2</v>
      </c>
      <c r="X71">
        <v>116.2</v>
      </c>
      <c r="Y71">
        <v>111.5</v>
      </c>
      <c r="Z71">
        <v>113.3</v>
      </c>
      <c r="AA71">
        <v>117.7</v>
      </c>
      <c r="AB71">
        <v>109.4</v>
      </c>
      <c r="AC71">
        <v>114.2</v>
      </c>
      <c r="AD71">
        <v>120.3</v>
      </c>
    </row>
    <row r="72" spans="1:30" x14ac:dyDescent="0.3">
      <c r="A72" t="s">
        <v>31</v>
      </c>
      <c r="B72">
        <v>2014</v>
      </c>
      <c r="C72" t="s">
        <v>44</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32</v>
      </c>
      <c r="B73">
        <v>2014</v>
      </c>
      <c r="C73" t="s">
        <v>44</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28</v>
      </c>
      <c r="B74">
        <v>2015</v>
      </c>
      <c r="C74" t="s">
        <v>29</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30</v>
      </c>
      <c r="V74">
        <v>118.4</v>
      </c>
      <c r="W74">
        <v>118.9</v>
      </c>
      <c r="X74">
        <v>116.6</v>
      </c>
      <c r="Y74">
        <v>111</v>
      </c>
      <c r="Z74">
        <v>114</v>
      </c>
      <c r="AA74">
        <v>118.2</v>
      </c>
      <c r="AB74">
        <v>110.2</v>
      </c>
      <c r="AC74">
        <v>114.5</v>
      </c>
      <c r="AD74">
        <v>120.3</v>
      </c>
    </row>
    <row r="75" spans="1:30" x14ac:dyDescent="0.3">
      <c r="A75" t="s">
        <v>31</v>
      </c>
      <c r="B75">
        <v>2015</v>
      </c>
      <c r="C75" t="s">
        <v>29</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32</v>
      </c>
      <c r="B76">
        <v>2015</v>
      </c>
      <c r="C76" t="s">
        <v>29</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28</v>
      </c>
      <c r="B77">
        <v>2015</v>
      </c>
      <c r="C77" t="s">
        <v>33</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30</v>
      </c>
      <c r="V77">
        <v>120</v>
      </c>
      <c r="W77">
        <v>119.6</v>
      </c>
      <c r="X77">
        <v>117.7</v>
      </c>
      <c r="Y77">
        <v>110.9</v>
      </c>
      <c r="Z77">
        <v>114.8</v>
      </c>
      <c r="AA77">
        <v>118.7</v>
      </c>
      <c r="AB77">
        <v>110.8</v>
      </c>
      <c r="AC77">
        <v>115</v>
      </c>
      <c r="AD77">
        <v>120.6</v>
      </c>
    </row>
    <row r="78" spans="1:30" x14ac:dyDescent="0.3">
      <c r="A78" t="s">
        <v>31</v>
      </c>
      <c r="B78">
        <v>2015</v>
      </c>
      <c r="C78" t="s">
        <v>33</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32</v>
      </c>
      <c r="B79">
        <v>2015</v>
      </c>
      <c r="C79" t="s">
        <v>33</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28</v>
      </c>
      <c r="B80">
        <v>2015</v>
      </c>
      <c r="C80" t="s">
        <v>34</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30</v>
      </c>
      <c r="V80">
        <v>120.6</v>
      </c>
      <c r="W80">
        <v>120.2</v>
      </c>
      <c r="X80">
        <v>118.2</v>
      </c>
      <c r="Y80">
        <v>111.6</v>
      </c>
      <c r="Z80">
        <v>115.5</v>
      </c>
      <c r="AA80">
        <v>119.4</v>
      </c>
      <c r="AB80">
        <v>110.8</v>
      </c>
      <c r="AC80">
        <v>115.5</v>
      </c>
      <c r="AD80">
        <v>121.1</v>
      </c>
    </row>
    <row r="81" spans="1:30" x14ac:dyDescent="0.3">
      <c r="A81" t="s">
        <v>31</v>
      </c>
      <c r="B81">
        <v>2015</v>
      </c>
      <c r="C81" t="s">
        <v>34</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32</v>
      </c>
      <c r="B82">
        <v>2015</v>
      </c>
      <c r="C82" t="s">
        <v>34</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28</v>
      </c>
      <c r="B83">
        <v>2015</v>
      </c>
      <c r="C83" t="s">
        <v>35</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30</v>
      </c>
      <c r="V83">
        <v>121.2</v>
      </c>
      <c r="W83">
        <v>120.9</v>
      </c>
      <c r="X83">
        <v>118.6</v>
      </c>
      <c r="Y83">
        <v>111.9</v>
      </c>
      <c r="Z83">
        <v>116.2</v>
      </c>
      <c r="AA83">
        <v>119.9</v>
      </c>
      <c r="AB83">
        <v>111.6</v>
      </c>
      <c r="AC83">
        <v>116</v>
      </c>
      <c r="AD83">
        <v>121.5</v>
      </c>
    </row>
    <row r="84" spans="1:30" x14ac:dyDescent="0.3">
      <c r="A84" t="s">
        <v>31</v>
      </c>
      <c r="B84">
        <v>2015</v>
      </c>
      <c r="C84" t="s">
        <v>35</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32</v>
      </c>
      <c r="B85">
        <v>2015</v>
      </c>
      <c r="C85" t="s">
        <v>35</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28</v>
      </c>
      <c r="B86">
        <v>2015</v>
      </c>
      <c r="C86" t="s">
        <v>36</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30</v>
      </c>
      <c r="V86">
        <v>121.9</v>
      </c>
      <c r="W86">
        <v>121.5</v>
      </c>
      <c r="X86">
        <v>119.4</v>
      </c>
      <c r="Y86">
        <v>113.3</v>
      </c>
      <c r="Z86">
        <v>116.7</v>
      </c>
      <c r="AA86">
        <v>120.5</v>
      </c>
      <c r="AB86">
        <v>112.3</v>
      </c>
      <c r="AC86">
        <v>116.9</v>
      </c>
      <c r="AD86">
        <v>122.4</v>
      </c>
    </row>
    <row r="87" spans="1:30" x14ac:dyDescent="0.3">
      <c r="A87" t="s">
        <v>31</v>
      </c>
      <c r="B87">
        <v>2015</v>
      </c>
      <c r="C87" t="s">
        <v>36</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32</v>
      </c>
      <c r="B88">
        <v>2015</v>
      </c>
      <c r="C88" t="s">
        <v>36</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28</v>
      </c>
      <c r="B89">
        <v>2015</v>
      </c>
      <c r="C89" t="s">
        <v>37</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30</v>
      </c>
      <c r="V89">
        <v>122.6</v>
      </c>
      <c r="W89">
        <v>122.8</v>
      </c>
      <c r="X89">
        <v>120.4</v>
      </c>
      <c r="Y89">
        <v>114.2</v>
      </c>
      <c r="Z89">
        <v>117.9</v>
      </c>
      <c r="AA89">
        <v>122</v>
      </c>
      <c r="AB89">
        <v>113</v>
      </c>
      <c r="AC89">
        <v>117.9</v>
      </c>
      <c r="AD89">
        <v>124.1</v>
      </c>
    </row>
    <row r="90" spans="1:30" x14ac:dyDescent="0.3">
      <c r="A90" t="s">
        <v>31</v>
      </c>
      <c r="B90">
        <v>2015</v>
      </c>
      <c r="C90" t="s">
        <v>37</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32</v>
      </c>
      <c r="B91">
        <v>2015</v>
      </c>
      <c r="C91" t="s">
        <v>37</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28</v>
      </c>
      <c r="B92">
        <v>2015</v>
      </c>
      <c r="C92" t="s">
        <v>38</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30</v>
      </c>
      <c r="V92">
        <v>123</v>
      </c>
      <c r="W92">
        <v>123</v>
      </c>
      <c r="X92">
        <v>120.8</v>
      </c>
      <c r="Y92">
        <v>114.1</v>
      </c>
      <c r="Z92">
        <v>118</v>
      </c>
      <c r="AA92">
        <v>122.9</v>
      </c>
      <c r="AB92">
        <v>112.7</v>
      </c>
      <c r="AC92">
        <v>118.1</v>
      </c>
      <c r="AD92">
        <v>124.7</v>
      </c>
    </row>
    <row r="93" spans="1:30" x14ac:dyDescent="0.3">
      <c r="A93" t="s">
        <v>31</v>
      </c>
      <c r="B93">
        <v>2015</v>
      </c>
      <c r="C93" t="s">
        <v>38</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32</v>
      </c>
      <c r="B94">
        <v>2015</v>
      </c>
      <c r="C94" t="s">
        <v>38</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28</v>
      </c>
      <c r="B95">
        <v>2015</v>
      </c>
      <c r="C95" t="s">
        <v>39</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30</v>
      </c>
      <c r="V95">
        <v>123.8</v>
      </c>
      <c r="W95">
        <v>123.7</v>
      </c>
      <c r="X95">
        <v>121.1</v>
      </c>
      <c r="Y95">
        <v>113.6</v>
      </c>
      <c r="Z95">
        <v>118.5</v>
      </c>
      <c r="AA95">
        <v>123.6</v>
      </c>
      <c r="AB95">
        <v>112.5</v>
      </c>
      <c r="AC95">
        <v>118.2</v>
      </c>
      <c r="AD95">
        <v>126.1</v>
      </c>
    </row>
    <row r="96" spans="1:30" x14ac:dyDescent="0.3">
      <c r="A96" t="s">
        <v>31</v>
      </c>
      <c r="B96">
        <v>2015</v>
      </c>
      <c r="C96" t="s">
        <v>39</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32</v>
      </c>
      <c r="B97">
        <v>2015</v>
      </c>
      <c r="C97" t="s">
        <v>39</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28</v>
      </c>
      <c r="B98">
        <v>2015</v>
      </c>
      <c r="C98" t="s">
        <v>40</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30</v>
      </c>
      <c r="V98">
        <v>123.7</v>
      </c>
      <c r="W98">
        <v>124.5</v>
      </c>
      <c r="X98">
        <v>121.4</v>
      </c>
      <c r="Y98">
        <v>113.8</v>
      </c>
      <c r="Z98">
        <v>119.6</v>
      </c>
      <c r="AA98">
        <v>124.5</v>
      </c>
      <c r="AB98">
        <v>113.7</v>
      </c>
      <c r="AC98">
        <v>118.8</v>
      </c>
      <c r="AD98">
        <v>127</v>
      </c>
    </row>
    <row r="99" spans="1:30" x14ac:dyDescent="0.3">
      <c r="A99" t="s">
        <v>31</v>
      </c>
      <c r="B99">
        <v>2015</v>
      </c>
      <c r="C99" t="s">
        <v>40</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32</v>
      </c>
      <c r="B100">
        <v>2015</v>
      </c>
      <c r="C100" t="s">
        <v>40</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28</v>
      </c>
      <c r="B101">
        <v>2015</v>
      </c>
      <c r="C101" t="s">
        <v>41</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30</v>
      </c>
      <c r="V101">
        <v>124.4</v>
      </c>
      <c r="W101">
        <v>125.1</v>
      </c>
      <c r="X101">
        <v>122</v>
      </c>
      <c r="Y101">
        <v>113.8</v>
      </c>
      <c r="Z101">
        <v>120.1</v>
      </c>
      <c r="AA101">
        <v>125.1</v>
      </c>
      <c r="AB101">
        <v>114.2</v>
      </c>
      <c r="AC101">
        <v>119.2</v>
      </c>
      <c r="AD101">
        <v>127.7</v>
      </c>
    </row>
    <row r="102" spans="1:30" x14ac:dyDescent="0.3">
      <c r="A102" t="s">
        <v>31</v>
      </c>
      <c r="B102">
        <v>2015</v>
      </c>
      <c r="C102" t="s">
        <v>41</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32</v>
      </c>
      <c r="B103">
        <v>2015</v>
      </c>
      <c r="C103" t="s">
        <v>41</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28</v>
      </c>
      <c r="B104">
        <v>2015</v>
      </c>
      <c r="C104" t="s">
        <v>43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30</v>
      </c>
      <c r="V104">
        <v>125.6</v>
      </c>
      <c r="W104">
        <v>125.6</v>
      </c>
      <c r="X104">
        <v>122.6</v>
      </c>
      <c r="Y104">
        <v>114</v>
      </c>
      <c r="Z104">
        <v>120.9</v>
      </c>
      <c r="AA104">
        <v>125.8</v>
      </c>
      <c r="AB104">
        <v>114.2</v>
      </c>
      <c r="AC104">
        <v>119.6</v>
      </c>
      <c r="AD104">
        <v>128.30000000000001</v>
      </c>
    </row>
    <row r="105" spans="1:30" x14ac:dyDescent="0.3">
      <c r="A105" t="s">
        <v>31</v>
      </c>
      <c r="B105">
        <v>2015</v>
      </c>
      <c r="C105" t="s">
        <v>43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32</v>
      </c>
      <c r="B106">
        <v>2015</v>
      </c>
      <c r="C106" t="s">
        <v>43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28</v>
      </c>
      <c r="B107">
        <v>2015</v>
      </c>
      <c r="C107" t="s">
        <v>44</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30</v>
      </c>
      <c r="V107">
        <v>125.7</v>
      </c>
      <c r="W107">
        <v>126</v>
      </c>
      <c r="X107">
        <v>123.1</v>
      </c>
      <c r="Y107">
        <v>114</v>
      </c>
      <c r="Z107">
        <v>121.6</v>
      </c>
      <c r="AA107">
        <v>125.6</v>
      </c>
      <c r="AB107">
        <v>114.1</v>
      </c>
      <c r="AC107">
        <v>119.8</v>
      </c>
      <c r="AD107">
        <v>127.9</v>
      </c>
    </row>
    <row r="108" spans="1:30" x14ac:dyDescent="0.3">
      <c r="A108" t="s">
        <v>31</v>
      </c>
      <c r="B108">
        <v>2015</v>
      </c>
      <c r="C108" t="s">
        <v>44</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32</v>
      </c>
      <c r="B109">
        <v>2015</v>
      </c>
      <c r="C109" t="s">
        <v>44</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28</v>
      </c>
      <c r="B110">
        <v>2016</v>
      </c>
      <c r="C110" t="s">
        <v>29</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30</v>
      </c>
      <c r="V110">
        <v>126.2</v>
      </c>
      <c r="W110">
        <v>126.6</v>
      </c>
      <c r="X110">
        <v>123.7</v>
      </c>
      <c r="Y110">
        <v>113.6</v>
      </c>
      <c r="Z110">
        <v>121.4</v>
      </c>
      <c r="AA110">
        <v>126.2</v>
      </c>
      <c r="AB110">
        <v>114.9</v>
      </c>
      <c r="AC110">
        <v>120.1</v>
      </c>
      <c r="AD110">
        <v>128.1</v>
      </c>
    </row>
    <row r="111" spans="1:30" x14ac:dyDescent="0.3">
      <c r="A111" t="s">
        <v>31</v>
      </c>
      <c r="B111">
        <v>2016</v>
      </c>
      <c r="C111" t="s">
        <v>29</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32</v>
      </c>
      <c r="B112">
        <v>2016</v>
      </c>
      <c r="C112" t="s">
        <v>29</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28</v>
      </c>
      <c r="B113">
        <v>2016</v>
      </c>
      <c r="C113" t="s">
        <v>33</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30</v>
      </c>
      <c r="V113">
        <v>127.5</v>
      </c>
      <c r="W113">
        <v>127.1</v>
      </c>
      <c r="X113">
        <v>124.3</v>
      </c>
      <c r="Y113">
        <v>113.9</v>
      </c>
      <c r="Z113">
        <v>122.3</v>
      </c>
      <c r="AA113">
        <v>127.1</v>
      </c>
      <c r="AB113">
        <v>116.8</v>
      </c>
      <c r="AC113">
        <v>120.9</v>
      </c>
      <c r="AD113">
        <v>127.9</v>
      </c>
    </row>
    <row r="114" spans="1:30" x14ac:dyDescent="0.3">
      <c r="A114" t="s">
        <v>31</v>
      </c>
      <c r="B114">
        <v>2016</v>
      </c>
      <c r="C114" t="s">
        <v>33</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32</v>
      </c>
      <c r="B115">
        <v>2016</v>
      </c>
      <c r="C115" t="s">
        <v>33</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28</v>
      </c>
      <c r="B116">
        <v>2016</v>
      </c>
      <c r="C116" t="s">
        <v>34</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30</v>
      </c>
      <c r="V116">
        <v>127</v>
      </c>
      <c r="W116">
        <v>127.7</v>
      </c>
      <c r="X116">
        <v>124.8</v>
      </c>
      <c r="Y116">
        <v>113.6</v>
      </c>
      <c r="Z116">
        <v>122.5</v>
      </c>
      <c r="AA116">
        <v>127.5</v>
      </c>
      <c r="AB116">
        <v>117.4</v>
      </c>
      <c r="AC116">
        <v>121.1</v>
      </c>
      <c r="AD116">
        <v>128</v>
      </c>
    </row>
    <row r="117" spans="1:30" x14ac:dyDescent="0.3">
      <c r="A117" t="s">
        <v>31</v>
      </c>
      <c r="B117">
        <v>2016</v>
      </c>
      <c r="C117" t="s">
        <v>34</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32</v>
      </c>
      <c r="B118">
        <v>2016</v>
      </c>
      <c r="C118" t="s">
        <v>34</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28</v>
      </c>
      <c r="B119">
        <v>2016</v>
      </c>
      <c r="C119" t="s">
        <v>35</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30</v>
      </c>
      <c r="V119">
        <v>127</v>
      </c>
      <c r="W119">
        <v>128</v>
      </c>
      <c r="X119">
        <v>125.2</v>
      </c>
      <c r="Y119">
        <v>114.4</v>
      </c>
      <c r="Z119">
        <v>123.2</v>
      </c>
      <c r="AA119">
        <v>127.9</v>
      </c>
      <c r="AB119">
        <v>118.4</v>
      </c>
      <c r="AC119">
        <v>121.7</v>
      </c>
      <c r="AD119">
        <v>129</v>
      </c>
    </row>
    <row r="120" spans="1:30" x14ac:dyDescent="0.3">
      <c r="A120" t="s">
        <v>31</v>
      </c>
      <c r="B120">
        <v>2016</v>
      </c>
      <c r="C120" t="s">
        <v>35</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32</v>
      </c>
      <c r="B121">
        <v>2016</v>
      </c>
      <c r="C121" t="s">
        <v>35</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28</v>
      </c>
      <c r="B122">
        <v>2016</v>
      </c>
      <c r="C122" t="s">
        <v>36</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30</v>
      </c>
      <c r="V122">
        <v>127.4</v>
      </c>
      <c r="W122">
        <v>128.5</v>
      </c>
      <c r="X122">
        <v>125.8</v>
      </c>
      <c r="Y122">
        <v>115.1</v>
      </c>
      <c r="Z122">
        <v>123.6</v>
      </c>
      <c r="AA122">
        <v>129.1</v>
      </c>
      <c r="AB122">
        <v>119.7</v>
      </c>
      <c r="AC122">
        <v>122.5</v>
      </c>
      <c r="AD122">
        <v>130.30000000000001</v>
      </c>
    </row>
    <row r="123" spans="1:30" x14ac:dyDescent="0.3">
      <c r="A123" t="s">
        <v>31</v>
      </c>
      <c r="B123">
        <v>2016</v>
      </c>
      <c r="C123" t="s">
        <v>36</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32</v>
      </c>
      <c r="B124">
        <v>2016</v>
      </c>
      <c r="C124" t="s">
        <v>36</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28</v>
      </c>
      <c r="B125">
        <v>2016</v>
      </c>
      <c r="C125" t="s">
        <v>37</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30</v>
      </c>
      <c r="V125">
        <v>128</v>
      </c>
      <c r="W125">
        <v>129.30000000000001</v>
      </c>
      <c r="X125">
        <v>126.2</v>
      </c>
      <c r="Y125">
        <v>116.3</v>
      </c>
      <c r="Z125">
        <v>124.1</v>
      </c>
      <c r="AA125">
        <v>130.19999999999999</v>
      </c>
      <c r="AB125">
        <v>119.9</v>
      </c>
      <c r="AC125">
        <v>123.3</v>
      </c>
      <c r="AD125">
        <v>131.9</v>
      </c>
    </row>
    <row r="126" spans="1:30" x14ac:dyDescent="0.3">
      <c r="A126" t="s">
        <v>31</v>
      </c>
      <c r="B126">
        <v>2016</v>
      </c>
      <c r="C126" t="s">
        <v>37</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32</v>
      </c>
      <c r="B127">
        <v>2016</v>
      </c>
      <c r="C127" t="s">
        <v>37</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28</v>
      </c>
      <c r="B128">
        <v>2016</v>
      </c>
      <c r="C128" t="s">
        <v>38</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30</v>
      </c>
      <c r="V128">
        <v>128.19999999999999</v>
      </c>
      <c r="W128">
        <v>130</v>
      </c>
      <c r="X128">
        <v>126.7</v>
      </c>
      <c r="Y128">
        <v>116.4</v>
      </c>
      <c r="Z128">
        <v>125.2</v>
      </c>
      <c r="AA128">
        <v>130.80000000000001</v>
      </c>
      <c r="AB128">
        <v>120.9</v>
      </c>
      <c r="AC128">
        <v>123.8</v>
      </c>
      <c r="AD128">
        <v>133</v>
      </c>
    </row>
    <row r="129" spans="1:30" x14ac:dyDescent="0.3">
      <c r="A129" t="s">
        <v>31</v>
      </c>
      <c r="B129">
        <v>2016</v>
      </c>
      <c r="C129" t="s">
        <v>38</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32</v>
      </c>
      <c r="B130">
        <v>2016</v>
      </c>
      <c r="C130" t="s">
        <v>38</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28</v>
      </c>
      <c r="B131">
        <v>2016</v>
      </c>
      <c r="C131" t="s">
        <v>39</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30</v>
      </c>
      <c r="V131">
        <v>129.1</v>
      </c>
      <c r="W131">
        <v>130.6</v>
      </c>
      <c r="X131">
        <v>127</v>
      </c>
      <c r="Y131">
        <v>116</v>
      </c>
      <c r="Z131">
        <v>125.5</v>
      </c>
      <c r="AA131">
        <v>131.9</v>
      </c>
      <c r="AB131">
        <v>122</v>
      </c>
      <c r="AC131">
        <v>124.2</v>
      </c>
      <c r="AD131">
        <v>133.5</v>
      </c>
    </row>
    <row r="132" spans="1:30" x14ac:dyDescent="0.3">
      <c r="A132" t="s">
        <v>31</v>
      </c>
      <c r="B132">
        <v>2016</v>
      </c>
      <c r="C132" t="s">
        <v>39</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32</v>
      </c>
      <c r="B133">
        <v>2016</v>
      </c>
      <c r="C133" t="s">
        <v>39</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28</v>
      </c>
      <c r="B134">
        <v>2016</v>
      </c>
      <c r="C134" t="s">
        <v>40</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30</v>
      </c>
      <c r="V134">
        <v>129.69999999999999</v>
      </c>
      <c r="W134">
        <v>131.1</v>
      </c>
      <c r="X134">
        <v>127.8</v>
      </c>
      <c r="Y134">
        <v>117</v>
      </c>
      <c r="Z134">
        <v>125.7</v>
      </c>
      <c r="AA134">
        <v>132.19999999999999</v>
      </c>
      <c r="AB134">
        <v>122.8</v>
      </c>
      <c r="AC134">
        <v>124.9</v>
      </c>
      <c r="AD134">
        <v>133.4</v>
      </c>
    </row>
    <row r="135" spans="1:30" x14ac:dyDescent="0.3">
      <c r="A135" t="s">
        <v>31</v>
      </c>
      <c r="B135">
        <v>2016</v>
      </c>
      <c r="C135" t="s">
        <v>40</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32</v>
      </c>
      <c r="B136">
        <v>2016</v>
      </c>
      <c r="C136" t="s">
        <v>40</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28</v>
      </c>
      <c r="B137">
        <v>2016</v>
      </c>
      <c r="C137" t="s">
        <v>41</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30</v>
      </c>
      <c r="V137">
        <v>129.80000000000001</v>
      </c>
      <c r="W137">
        <v>131.80000000000001</v>
      </c>
      <c r="X137">
        <v>128.69999999999999</v>
      </c>
      <c r="Y137">
        <v>117.8</v>
      </c>
      <c r="Z137">
        <v>126.5</v>
      </c>
      <c r="AA137">
        <v>133</v>
      </c>
      <c r="AB137">
        <v>123</v>
      </c>
      <c r="AC137">
        <v>125.7</v>
      </c>
      <c r="AD137">
        <v>133.80000000000001</v>
      </c>
    </row>
    <row r="138" spans="1:30" x14ac:dyDescent="0.3">
      <c r="A138" t="s">
        <v>31</v>
      </c>
      <c r="B138">
        <v>2016</v>
      </c>
      <c r="C138" t="s">
        <v>41</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32</v>
      </c>
      <c r="B139">
        <v>2016</v>
      </c>
      <c r="C139" t="s">
        <v>41</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28</v>
      </c>
      <c r="B140">
        <v>2016</v>
      </c>
      <c r="C140" t="s">
        <v>43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30</v>
      </c>
      <c r="V140">
        <v>130.30000000000001</v>
      </c>
      <c r="W140">
        <v>132.1</v>
      </c>
      <c r="X140">
        <v>129.1</v>
      </c>
      <c r="Y140">
        <v>118.2</v>
      </c>
      <c r="Z140">
        <v>126.9</v>
      </c>
      <c r="AA140">
        <v>133.69999999999999</v>
      </c>
      <c r="AB140">
        <v>123.5</v>
      </c>
      <c r="AC140">
        <v>126.1</v>
      </c>
      <c r="AD140">
        <v>133.6</v>
      </c>
    </row>
    <row r="141" spans="1:30" x14ac:dyDescent="0.3">
      <c r="A141" t="s">
        <v>31</v>
      </c>
      <c r="B141">
        <v>2016</v>
      </c>
      <c r="C141" t="s">
        <v>43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32</v>
      </c>
      <c r="B142">
        <v>2016</v>
      </c>
      <c r="C142" t="s">
        <v>43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28</v>
      </c>
      <c r="B143">
        <v>2016</v>
      </c>
      <c r="C143" t="s">
        <v>44</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30</v>
      </c>
      <c r="V143">
        <v>132</v>
      </c>
      <c r="W143">
        <v>132.9</v>
      </c>
      <c r="X143">
        <v>129.69999999999999</v>
      </c>
      <c r="Y143">
        <v>118.6</v>
      </c>
      <c r="Z143">
        <v>127.3</v>
      </c>
      <c r="AA143">
        <v>134.19999999999999</v>
      </c>
      <c r="AB143">
        <v>121.9</v>
      </c>
      <c r="AC143">
        <v>126.3</v>
      </c>
      <c r="AD143">
        <v>132.80000000000001</v>
      </c>
    </row>
    <row r="144" spans="1:30" x14ac:dyDescent="0.3">
      <c r="A144" t="s">
        <v>31</v>
      </c>
      <c r="B144">
        <v>2016</v>
      </c>
      <c r="C144" t="s">
        <v>44</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32</v>
      </c>
      <c r="B145">
        <v>2016</v>
      </c>
      <c r="C145" t="s">
        <v>44</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28</v>
      </c>
      <c r="B146">
        <v>2017</v>
      </c>
      <c r="C146" t="s">
        <v>29</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30</v>
      </c>
      <c r="V146">
        <v>132.1</v>
      </c>
      <c r="W146">
        <v>133.19999999999999</v>
      </c>
      <c r="X146">
        <v>129.9</v>
      </c>
      <c r="Y146">
        <v>119.1</v>
      </c>
      <c r="Z146">
        <v>127</v>
      </c>
      <c r="AA146">
        <v>134.6</v>
      </c>
      <c r="AB146">
        <v>122.3</v>
      </c>
      <c r="AC146">
        <v>126.6</v>
      </c>
      <c r="AD146">
        <v>132.4</v>
      </c>
    </row>
    <row r="147" spans="1:30" x14ac:dyDescent="0.3">
      <c r="A147" t="s">
        <v>31</v>
      </c>
      <c r="B147">
        <v>2017</v>
      </c>
      <c r="C147" t="s">
        <v>29</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32</v>
      </c>
      <c r="B148">
        <v>2017</v>
      </c>
      <c r="C148" t="s">
        <v>29</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28</v>
      </c>
      <c r="B149">
        <v>2017</v>
      </c>
      <c r="C149" t="s">
        <v>33</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30</v>
      </c>
      <c r="V149">
        <v>133.19999999999999</v>
      </c>
      <c r="W149">
        <v>133.6</v>
      </c>
      <c r="X149">
        <v>130.1</v>
      </c>
      <c r="Y149">
        <v>119.5</v>
      </c>
      <c r="Z149">
        <v>127.7</v>
      </c>
      <c r="AA149">
        <v>134.9</v>
      </c>
      <c r="AB149">
        <v>123.2</v>
      </c>
      <c r="AC149">
        <v>127</v>
      </c>
      <c r="AD149">
        <v>132.6</v>
      </c>
    </row>
    <row r="150" spans="1:30" x14ac:dyDescent="0.3">
      <c r="A150" t="s">
        <v>31</v>
      </c>
      <c r="B150">
        <v>2017</v>
      </c>
      <c r="C150" t="s">
        <v>33</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32</v>
      </c>
      <c r="B151">
        <v>2017</v>
      </c>
      <c r="C151" t="s">
        <v>33</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28</v>
      </c>
      <c r="B152">
        <v>2017</v>
      </c>
      <c r="C152" t="s">
        <v>34</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30</v>
      </c>
      <c r="V152">
        <v>134.19999999999999</v>
      </c>
      <c r="W152">
        <v>134.1</v>
      </c>
      <c r="X152">
        <v>130.6</v>
      </c>
      <c r="Y152">
        <v>119.8</v>
      </c>
      <c r="Z152">
        <v>128.30000000000001</v>
      </c>
      <c r="AA152">
        <v>135.19999999999999</v>
      </c>
      <c r="AB152">
        <v>123.3</v>
      </c>
      <c r="AC152">
        <v>127.4</v>
      </c>
      <c r="AD152">
        <v>132.80000000000001</v>
      </c>
    </row>
    <row r="153" spans="1:30" x14ac:dyDescent="0.3">
      <c r="A153" t="s">
        <v>31</v>
      </c>
      <c r="B153">
        <v>2017</v>
      </c>
      <c r="C153" t="s">
        <v>34</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32</v>
      </c>
      <c r="B154">
        <v>2017</v>
      </c>
      <c r="C154" t="s">
        <v>34</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28</v>
      </c>
      <c r="B155">
        <v>2017</v>
      </c>
      <c r="C155" t="s">
        <v>35</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30</v>
      </c>
      <c r="V155">
        <v>135</v>
      </c>
      <c r="W155">
        <v>134.30000000000001</v>
      </c>
      <c r="X155">
        <v>131</v>
      </c>
      <c r="Y155">
        <v>119.2</v>
      </c>
      <c r="Z155">
        <v>128.30000000000001</v>
      </c>
      <c r="AA155">
        <v>135.69999999999999</v>
      </c>
      <c r="AB155">
        <v>123.7</v>
      </c>
      <c r="AC155">
        <v>127.5</v>
      </c>
      <c r="AD155">
        <v>132.9</v>
      </c>
    </row>
    <row r="156" spans="1:30" x14ac:dyDescent="0.3">
      <c r="A156" t="s">
        <v>31</v>
      </c>
      <c r="B156">
        <v>2017</v>
      </c>
      <c r="C156" t="s">
        <v>35</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32</v>
      </c>
      <c r="B157">
        <v>2017</v>
      </c>
      <c r="C157" t="s">
        <v>35</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28</v>
      </c>
      <c r="B158">
        <v>2017</v>
      </c>
      <c r="C158" t="s">
        <v>36</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30</v>
      </c>
      <c r="V158">
        <v>135</v>
      </c>
      <c r="W158">
        <v>134.9</v>
      </c>
      <c r="X158">
        <v>131.4</v>
      </c>
      <c r="Y158">
        <v>119.4</v>
      </c>
      <c r="Z158">
        <v>129.4</v>
      </c>
      <c r="AA158">
        <v>136.30000000000001</v>
      </c>
      <c r="AB158">
        <v>123.7</v>
      </c>
      <c r="AC158">
        <v>127.9</v>
      </c>
      <c r="AD158">
        <v>133.30000000000001</v>
      </c>
    </row>
    <row r="159" spans="1:30" x14ac:dyDescent="0.3">
      <c r="A159" t="s">
        <v>31</v>
      </c>
      <c r="B159">
        <v>2017</v>
      </c>
      <c r="C159" t="s">
        <v>36</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32</v>
      </c>
      <c r="B160">
        <v>2017</v>
      </c>
      <c r="C160" t="s">
        <v>36</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28</v>
      </c>
      <c r="B161">
        <v>2017</v>
      </c>
      <c r="C161" t="s">
        <v>37</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30</v>
      </c>
      <c r="V161">
        <v>134.80000000000001</v>
      </c>
      <c r="W161">
        <v>135.19999999999999</v>
      </c>
      <c r="X161">
        <v>131.30000000000001</v>
      </c>
      <c r="Y161">
        <v>119.4</v>
      </c>
      <c r="Z161">
        <v>129.80000000000001</v>
      </c>
      <c r="AA161">
        <v>136.9</v>
      </c>
      <c r="AB161">
        <v>124.1</v>
      </c>
      <c r="AC161">
        <v>128.1</v>
      </c>
      <c r="AD161">
        <v>133.9</v>
      </c>
    </row>
    <row r="162" spans="1:30" x14ac:dyDescent="0.3">
      <c r="A162" t="s">
        <v>31</v>
      </c>
      <c r="B162">
        <v>2017</v>
      </c>
      <c r="C162" t="s">
        <v>37</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32</v>
      </c>
      <c r="B163">
        <v>2017</v>
      </c>
      <c r="C163" t="s">
        <v>37</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28</v>
      </c>
      <c r="B164">
        <v>2017</v>
      </c>
      <c r="C164" t="s">
        <v>38</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30</v>
      </c>
      <c r="V164">
        <v>135.30000000000001</v>
      </c>
      <c r="W164">
        <v>136.1</v>
      </c>
      <c r="X164">
        <v>132.1</v>
      </c>
      <c r="Y164">
        <v>119.1</v>
      </c>
      <c r="Z164">
        <v>130.6</v>
      </c>
      <c r="AA164">
        <v>138.6</v>
      </c>
      <c r="AB164">
        <v>124.4</v>
      </c>
      <c r="AC164">
        <v>128.6</v>
      </c>
      <c r="AD164">
        <v>136.19999999999999</v>
      </c>
    </row>
    <row r="165" spans="1:30" x14ac:dyDescent="0.3">
      <c r="A165" t="s">
        <v>31</v>
      </c>
      <c r="B165">
        <v>2017</v>
      </c>
      <c r="C165" t="s">
        <v>38</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32</v>
      </c>
      <c r="B166">
        <v>2017</v>
      </c>
      <c r="C166" t="s">
        <v>38</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28</v>
      </c>
      <c r="B167">
        <v>2017</v>
      </c>
      <c r="C167" t="s">
        <v>39</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30</v>
      </c>
      <c r="V167">
        <v>136.4</v>
      </c>
      <c r="W167">
        <v>137.30000000000001</v>
      </c>
      <c r="X167">
        <v>133</v>
      </c>
      <c r="Y167">
        <v>120.3</v>
      </c>
      <c r="Z167">
        <v>131.5</v>
      </c>
      <c r="AA167">
        <v>140.19999999999999</v>
      </c>
      <c r="AB167">
        <v>125.4</v>
      </c>
      <c r="AC167">
        <v>129.69999999999999</v>
      </c>
      <c r="AD167">
        <v>137.80000000000001</v>
      </c>
    </row>
    <row r="168" spans="1:30" x14ac:dyDescent="0.3">
      <c r="A168" t="s">
        <v>31</v>
      </c>
      <c r="B168">
        <v>2017</v>
      </c>
      <c r="C168" t="s">
        <v>39</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32</v>
      </c>
      <c r="B169">
        <v>2017</v>
      </c>
      <c r="C169" t="s">
        <v>39</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28</v>
      </c>
      <c r="B170">
        <v>2017</v>
      </c>
      <c r="C170" t="s">
        <v>40</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30</v>
      </c>
      <c r="V170">
        <v>137.4</v>
      </c>
      <c r="W170">
        <v>137.9</v>
      </c>
      <c r="X170">
        <v>133.4</v>
      </c>
      <c r="Y170">
        <v>121.2</v>
      </c>
      <c r="Z170">
        <v>132.30000000000001</v>
      </c>
      <c r="AA170">
        <v>139.6</v>
      </c>
      <c r="AB170">
        <v>126.7</v>
      </c>
      <c r="AC170">
        <v>130.30000000000001</v>
      </c>
      <c r="AD170">
        <v>137.6</v>
      </c>
    </row>
    <row r="171" spans="1:30" x14ac:dyDescent="0.3">
      <c r="A171" t="s">
        <v>31</v>
      </c>
      <c r="B171">
        <v>2017</v>
      </c>
      <c r="C171" t="s">
        <v>40</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32</v>
      </c>
      <c r="B172">
        <v>2017</v>
      </c>
      <c r="C172" t="s">
        <v>40</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28</v>
      </c>
      <c r="B173">
        <v>2017</v>
      </c>
      <c r="C173" t="s">
        <v>41</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30</v>
      </c>
      <c r="V173">
        <v>138.1</v>
      </c>
      <c r="W173">
        <v>138.4</v>
      </c>
      <c r="X173">
        <v>134.19999999999999</v>
      </c>
      <c r="Y173">
        <v>121</v>
      </c>
      <c r="Z173">
        <v>133</v>
      </c>
      <c r="AA173">
        <v>140.1</v>
      </c>
      <c r="AB173">
        <v>127.4</v>
      </c>
      <c r="AC173">
        <v>130.69999999999999</v>
      </c>
      <c r="AD173">
        <v>138.30000000000001</v>
      </c>
    </row>
    <row r="174" spans="1:30" x14ac:dyDescent="0.3">
      <c r="A174" t="s">
        <v>31</v>
      </c>
      <c r="B174">
        <v>2017</v>
      </c>
      <c r="C174" t="s">
        <v>41</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32</v>
      </c>
      <c r="B175">
        <v>2017</v>
      </c>
      <c r="C175" t="s">
        <v>41</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28</v>
      </c>
      <c r="B176">
        <v>2017</v>
      </c>
      <c r="C176" t="s">
        <v>43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30</v>
      </c>
      <c r="V176">
        <v>141.1</v>
      </c>
      <c r="W176">
        <v>139.4</v>
      </c>
      <c r="X176">
        <v>135.80000000000001</v>
      </c>
      <c r="Y176">
        <v>121.6</v>
      </c>
      <c r="Z176">
        <v>133.69999999999999</v>
      </c>
      <c r="AA176">
        <v>141.5</v>
      </c>
      <c r="AB176">
        <v>128.1</v>
      </c>
      <c r="AC176">
        <v>131.69999999999999</v>
      </c>
      <c r="AD176">
        <v>140</v>
      </c>
    </row>
    <row r="177" spans="1:30" x14ac:dyDescent="0.3">
      <c r="A177" t="s">
        <v>31</v>
      </c>
      <c r="B177">
        <v>2017</v>
      </c>
      <c r="C177" t="s">
        <v>43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32</v>
      </c>
      <c r="B178">
        <v>2017</v>
      </c>
      <c r="C178" t="s">
        <v>43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28</v>
      </c>
      <c r="B179">
        <v>2017</v>
      </c>
      <c r="C179" t="s">
        <v>44</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30</v>
      </c>
      <c r="V179">
        <v>142.6</v>
      </c>
      <c r="W179">
        <v>139.5</v>
      </c>
      <c r="X179">
        <v>136.1</v>
      </c>
      <c r="Y179">
        <v>122</v>
      </c>
      <c r="Z179">
        <v>133.4</v>
      </c>
      <c r="AA179">
        <v>141.1</v>
      </c>
      <c r="AB179">
        <v>127.8</v>
      </c>
      <c r="AC179">
        <v>131.9</v>
      </c>
      <c r="AD179">
        <v>139.80000000000001</v>
      </c>
    </row>
    <row r="180" spans="1:30" x14ac:dyDescent="0.3">
      <c r="A180" t="s">
        <v>31</v>
      </c>
      <c r="B180">
        <v>2017</v>
      </c>
      <c r="C180" t="s">
        <v>44</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32</v>
      </c>
      <c r="B181">
        <v>2017</v>
      </c>
      <c r="C181" t="s">
        <v>44</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28</v>
      </c>
      <c r="B182">
        <v>2018</v>
      </c>
      <c r="C182" t="s">
        <v>29</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30</v>
      </c>
      <c r="V182">
        <v>142.30000000000001</v>
      </c>
      <c r="W182">
        <v>139.80000000000001</v>
      </c>
      <c r="X182">
        <v>136</v>
      </c>
      <c r="Y182">
        <v>122.7</v>
      </c>
      <c r="Z182">
        <v>134.30000000000001</v>
      </c>
      <c r="AA182">
        <v>141.6</v>
      </c>
      <c r="AB182">
        <v>128.6</v>
      </c>
      <c r="AC182">
        <v>132.30000000000001</v>
      </c>
      <c r="AD182">
        <v>139.30000000000001</v>
      </c>
    </row>
    <row r="183" spans="1:30" x14ac:dyDescent="0.3">
      <c r="A183" t="s">
        <v>31</v>
      </c>
      <c r="B183">
        <v>2018</v>
      </c>
      <c r="C183" t="s">
        <v>29</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32</v>
      </c>
      <c r="B184">
        <v>2018</v>
      </c>
      <c r="C184" t="s">
        <v>29</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28</v>
      </c>
      <c r="B185">
        <v>2018</v>
      </c>
      <c r="C185" t="s">
        <v>33</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30</v>
      </c>
      <c r="V185">
        <v>142.4</v>
      </c>
      <c r="W185">
        <v>139.9</v>
      </c>
      <c r="X185">
        <v>136.19999999999999</v>
      </c>
      <c r="Y185">
        <v>123.3</v>
      </c>
      <c r="Z185">
        <v>134.30000000000001</v>
      </c>
      <c r="AA185">
        <v>141.5</v>
      </c>
      <c r="AB185">
        <v>128.80000000000001</v>
      </c>
      <c r="AC185">
        <v>132.5</v>
      </c>
      <c r="AD185">
        <v>138.5</v>
      </c>
    </row>
    <row r="186" spans="1:30" x14ac:dyDescent="0.3">
      <c r="A186" t="s">
        <v>31</v>
      </c>
      <c r="B186">
        <v>2018</v>
      </c>
      <c r="C186" t="s">
        <v>33</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32</v>
      </c>
      <c r="B187">
        <v>2018</v>
      </c>
      <c r="C187" t="s">
        <v>33</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28</v>
      </c>
      <c r="B188">
        <v>2018</v>
      </c>
      <c r="C188" t="s">
        <v>34</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30</v>
      </c>
      <c r="V188">
        <v>142.6</v>
      </c>
      <c r="W188">
        <v>139.9</v>
      </c>
      <c r="X188">
        <v>136.69999999999999</v>
      </c>
      <c r="Y188">
        <v>124.6</v>
      </c>
      <c r="Z188">
        <v>135.1</v>
      </c>
      <c r="AA188">
        <v>142.69999999999999</v>
      </c>
      <c r="AB188">
        <v>129.30000000000001</v>
      </c>
      <c r="AC188">
        <v>133.30000000000001</v>
      </c>
      <c r="AD188">
        <v>138.69999999999999</v>
      </c>
    </row>
    <row r="189" spans="1:30" x14ac:dyDescent="0.3">
      <c r="A189" t="s">
        <v>31</v>
      </c>
      <c r="B189">
        <v>2018</v>
      </c>
      <c r="C189" t="s">
        <v>34</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32</v>
      </c>
      <c r="B190">
        <v>2018</v>
      </c>
      <c r="C190" t="s">
        <v>34</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28</v>
      </c>
      <c r="B191">
        <v>2018</v>
      </c>
      <c r="C191" t="s">
        <v>35</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30</v>
      </c>
      <c r="V191">
        <v>143.80000000000001</v>
      </c>
      <c r="W191">
        <v>140.9</v>
      </c>
      <c r="X191">
        <v>137.6</v>
      </c>
      <c r="Y191">
        <v>125.3</v>
      </c>
      <c r="Z191">
        <v>136</v>
      </c>
      <c r="AA191">
        <v>143.69999999999999</v>
      </c>
      <c r="AB191">
        <v>130.4</v>
      </c>
      <c r="AC191">
        <v>134.19999999999999</v>
      </c>
      <c r="AD191">
        <v>139.1</v>
      </c>
    </row>
    <row r="192" spans="1:30" x14ac:dyDescent="0.3">
      <c r="A192" t="s">
        <v>31</v>
      </c>
      <c r="B192">
        <v>2018</v>
      </c>
      <c r="C192" t="s">
        <v>35</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32</v>
      </c>
      <c r="B193">
        <v>2018</v>
      </c>
      <c r="C193" t="s">
        <v>35</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28</v>
      </c>
      <c r="B194">
        <v>2018</v>
      </c>
      <c r="C194" t="s">
        <v>36</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30</v>
      </c>
      <c r="V194">
        <v>144.30000000000001</v>
      </c>
      <c r="W194">
        <v>141.80000000000001</v>
      </c>
      <c r="X194">
        <v>138.4</v>
      </c>
      <c r="Y194">
        <v>126.4</v>
      </c>
      <c r="Z194">
        <v>136.80000000000001</v>
      </c>
      <c r="AA194">
        <v>144.4</v>
      </c>
      <c r="AB194">
        <v>131.19999999999999</v>
      </c>
      <c r="AC194">
        <v>135.1</v>
      </c>
      <c r="AD194">
        <v>139.80000000000001</v>
      </c>
    </row>
    <row r="195" spans="1:30" x14ac:dyDescent="0.3">
      <c r="A195" t="s">
        <v>31</v>
      </c>
      <c r="B195">
        <v>2018</v>
      </c>
      <c r="C195" t="s">
        <v>36</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32</v>
      </c>
      <c r="B196">
        <v>2018</v>
      </c>
      <c r="C196" t="s">
        <v>36</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28</v>
      </c>
      <c r="B197">
        <v>2018</v>
      </c>
      <c r="C197" t="s">
        <v>37</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30</v>
      </c>
      <c r="V197">
        <v>145.1</v>
      </c>
      <c r="W197">
        <v>142.19999999999999</v>
      </c>
      <c r="X197">
        <v>138.4</v>
      </c>
      <c r="Y197">
        <v>127.4</v>
      </c>
      <c r="Z197">
        <v>137.80000000000001</v>
      </c>
      <c r="AA197">
        <v>145.1</v>
      </c>
      <c r="AB197">
        <v>131.4</v>
      </c>
      <c r="AC197">
        <v>135.6</v>
      </c>
      <c r="AD197">
        <v>140.5</v>
      </c>
    </row>
    <row r="198" spans="1:30" x14ac:dyDescent="0.3">
      <c r="A198" t="s">
        <v>31</v>
      </c>
      <c r="B198">
        <v>2018</v>
      </c>
      <c r="C198" t="s">
        <v>37</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32</v>
      </c>
      <c r="B199">
        <v>2018</v>
      </c>
      <c r="C199" t="s">
        <v>37</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28</v>
      </c>
      <c r="B200">
        <v>2018</v>
      </c>
      <c r="C200" t="s">
        <v>38</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30</v>
      </c>
      <c r="V200">
        <v>146.80000000000001</v>
      </c>
      <c r="W200">
        <v>143.1</v>
      </c>
      <c r="X200">
        <v>139</v>
      </c>
      <c r="Y200">
        <v>127.5</v>
      </c>
      <c r="Z200">
        <v>138.4</v>
      </c>
      <c r="AA200">
        <v>145.80000000000001</v>
      </c>
      <c r="AB200">
        <v>131.4</v>
      </c>
      <c r="AC200">
        <v>136</v>
      </c>
      <c r="AD200">
        <v>141.80000000000001</v>
      </c>
    </row>
    <row r="201" spans="1:30" x14ac:dyDescent="0.3">
      <c r="A201" t="s">
        <v>31</v>
      </c>
      <c r="B201">
        <v>2018</v>
      </c>
      <c r="C201" t="s">
        <v>38</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32</v>
      </c>
      <c r="B202">
        <v>2018</v>
      </c>
      <c r="C202" t="s">
        <v>38</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28</v>
      </c>
      <c r="B203">
        <v>2018</v>
      </c>
      <c r="C203" t="s">
        <v>39</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30</v>
      </c>
      <c r="V203">
        <v>147.69999999999999</v>
      </c>
      <c r="W203">
        <v>143.80000000000001</v>
      </c>
      <c r="X203">
        <v>139.4</v>
      </c>
      <c r="Y203">
        <v>128.30000000000001</v>
      </c>
      <c r="Z203">
        <v>138.6</v>
      </c>
      <c r="AA203">
        <v>146.9</v>
      </c>
      <c r="AB203">
        <v>131.30000000000001</v>
      </c>
      <c r="AC203">
        <v>136.6</v>
      </c>
      <c r="AD203">
        <v>142.5</v>
      </c>
    </row>
    <row r="204" spans="1:30" x14ac:dyDescent="0.3">
      <c r="A204" t="s">
        <v>31</v>
      </c>
      <c r="B204">
        <v>2018</v>
      </c>
      <c r="C204" t="s">
        <v>39</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32</v>
      </c>
      <c r="B205">
        <v>2018</v>
      </c>
      <c r="C205" t="s">
        <v>39</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28</v>
      </c>
      <c r="B206">
        <v>2018</v>
      </c>
      <c r="C206" t="s">
        <v>40</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30</v>
      </c>
      <c r="V206">
        <v>149</v>
      </c>
      <c r="W206">
        <v>144</v>
      </c>
      <c r="X206">
        <v>140</v>
      </c>
      <c r="Y206">
        <v>129.9</v>
      </c>
      <c r="Z206">
        <v>140</v>
      </c>
      <c r="AA206">
        <v>147.6</v>
      </c>
      <c r="AB206">
        <v>132</v>
      </c>
      <c r="AC206">
        <v>137.4</v>
      </c>
      <c r="AD206">
        <v>142.1</v>
      </c>
    </row>
    <row r="207" spans="1:30" x14ac:dyDescent="0.3">
      <c r="A207" t="s">
        <v>31</v>
      </c>
      <c r="B207">
        <v>2018</v>
      </c>
      <c r="C207" t="s">
        <v>40</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32</v>
      </c>
      <c r="B208">
        <v>2018</v>
      </c>
      <c r="C208" t="s">
        <v>40</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28</v>
      </c>
      <c r="B209">
        <v>2018</v>
      </c>
      <c r="C209" t="s">
        <v>41</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30</v>
      </c>
      <c r="V209">
        <v>149.69999999999999</v>
      </c>
      <c r="W209">
        <v>147.5</v>
      </c>
      <c r="X209">
        <v>144.80000000000001</v>
      </c>
      <c r="Y209">
        <v>130.80000000000001</v>
      </c>
      <c r="Z209">
        <v>140.1</v>
      </c>
      <c r="AA209">
        <v>148</v>
      </c>
      <c r="AB209">
        <v>134.4</v>
      </c>
      <c r="AC209">
        <v>139.80000000000001</v>
      </c>
      <c r="AD209">
        <v>142.19999999999999</v>
      </c>
    </row>
    <row r="210" spans="1:30" x14ac:dyDescent="0.3">
      <c r="A210" t="s">
        <v>31</v>
      </c>
      <c r="B210">
        <v>2018</v>
      </c>
      <c r="C210" t="s">
        <v>41</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32</v>
      </c>
      <c r="B211">
        <v>2018</v>
      </c>
      <c r="C211" t="s">
        <v>41</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28</v>
      </c>
      <c r="B212">
        <v>2018</v>
      </c>
      <c r="C212" t="s">
        <v>43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30</v>
      </c>
      <c r="V212">
        <v>150.30000000000001</v>
      </c>
      <c r="W212">
        <v>148</v>
      </c>
      <c r="X212">
        <v>145.4</v>
      </c>
      <c r="Y212">
        <v>130.30000000000001</v>
      </c>
      <c r="Z212">
        <v>143.1</v>
      </c>
      <c r="AA212">
        <v>150.19999999999999</v>
      </c>
      <c r="AB212">
        <v>133.1</v>
      </c>
      <c r="AC212">
        <v>140.1</v>
      </c>
      <c r="AD212">
        <v>142.4</v>
      </c>
    </row>
    <row r="213" spans="1:30" x14ac:dyDescent="0.3">
      <c r="A213" t="s">
        <v>31</v>
      </c>
      <c r="B213">
        <v>2018</v>
      </c>
      <c r="C213" t="s">
        <v>43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32</v>
      </c>
      <c r="B214">
        <v>2018</v>
      </c>
      <c r="C214" t="s">
        <v>43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28</v>
      </c>
      <c r="B215">
        <v>2018</v>
      </c>
      <c r="C215" t="s">
        <v>44</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30</v>
      </c>
      <c r="V215">
        <v>149</v>
      </c>
      <c r="W215">
        <v>149.5</v>
      </c>
      <c r="X215">
        <v>149.6</v>
      </c>
      <c r="Y215">
        <v>128.9</v>
      </c>
      <c r="Z215">
        <v>143.30000000000001</v>
      </c>
      <c r="AA215">
        <v>155.1</v>
      </c>
      <c r="AB215">
        <v>133.19999999999999</v>
      </c>
      <c r="AC215">
        <v>141.6</v>
      </c>
      <c r="AD215">
        <v>141.9</v>
      </c>
    </row>
    <row r="216" spans="1:30" x14ac:dyDescent="0.3">
      <c r="A216" t="s">
        <v>31</v>
      </c>
      <c r="B216">
        <v>2018</v>
      </c>
      <c r="C216" t="s">
        <v>44</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32</v>
      </c>
      <c r="B217">
        <v>2018</v>
      </c>
      <c r="C217" t="s">
        <v>44</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28</v>
      </c>
      <c r="B218">
        <v>2019</v>
      </c>
      <c r="C218" t="s">
        <v>29</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30</v>
      </c>
      <c r="V218">
        <v>146.19999999999999</v>
      </c>
      <c r="W218">
        <v>150.1</v>
      </c>
      <c r="X218">
        <v>149.6</v>
      </c>
      <c r="Y218">
        <v>128.6</v>
      </c>
      <c r="Z218">
        <v>142.9</v>
      </c>
      <c r="AA218">
        <v>155.19999999999999</v>
      </c>
      <c r="AB218">
        <v>133.5</v>
      </c>
      <c r="AC218">
        <v>141.69999999999999</v>
      </c>
      <c r="AD218">
        <v>141</v>
      </c>
    </row>
    <row r="219" spans="1:30" x14ac:dyDescent="0.3">
      <c r="A219" t="s">
        <v>31</v>
      </c>
      <c r="B219">
        <v>2019</v>
      </c>
      <c r="C219" t="s">
        <v>29</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32</v>
      </c>
      <c r="B220">
        <v>2019</v>
      </c>
      <c r="C220" t="s">
        <v>29</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28</v>
      </c>
      <c r="B221">
        <v>2019</v>
      </c>
      <c r="C221" t="s">
        <v>33</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30</v>
      </c>
      <c r="V221">
        <v>145.30000000000001</v>
      </c>
      <c r="W221">
        <v>150.1</v>
      </c>
      <c r="X221">
        <v>149.9</v>
      </c>
      <c r="Y221">
        <v>129.19999999999999</v>
      </c>
      <c r="Z221">
        <v>143.4</v>
      </c>
      <c r="AA221">
        <v>155.5</v>
      </c>
      <c r="AB221">
        <v>134.9</v>
      </c>
      <c r="AC221">
        <v>142.19999999999999</v>
      </c>
      <c r="AD221">
        <v>141</v>
      </c>
    </row>
    <row r="222" spans="1:30" x14ac:dyDescent="0.3">
      <c r="A222" t="s">
        <v>31</v>
      </c>
      <c r="B222">
        <v>2019</v>
      </c>
      <c r="C222" t="s">
        <v>33</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32</v>
      </c>
      <c r="B223">
        <v>2019</v>
      </c>
      <c r="C223" t="s">
        <v>33</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28</v>
      </c>
      <c r="B224">
        <v>2019</v>
      </c>
      <c r="C224" t="s">
        <v>34</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30</v>
      </c>
      <c r="V224">
        <v>146.4</v>
      </c>
      <c r="W224">
        <v>150</v>
      </c>
      <c r="X224">
        <v>150.4</v>
      </c>
      <c r="Y224">
        <v>129.9</v>
      </c>
      <c r="Z224">
        <v>143.80000000000001</v>
      </c>
      <c r="AA224">
        <v>155.5</v>
      </c>
      <c r="AB224">
        <v>134</v>
      </c>
      <c r="AC224">
        <v>142.4</v>
      </c>
      <c r="AD224">
        <v>141.19999999999999</v>
      </c>
    </row>
    <row r="225" spans="1:30" x14ac:dyDescent="0.3">
      <c r="A225" t="s">
        <v>31</v>
      </c>
      <c r="B225">
        <v>2019</v>
      </c>
      <c r="C225" t="s">
        <v>34</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32</v>
      </c>
      <c r="B226">
        <v>2019</v>
      </c>
      <c r="C226" t="s">
        <v>34</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28</v>
      </c>
      <c r="B227">
        <v>2019</v>
      </c>
      <c r="C227" t="s">
        <v>36</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30</v>
      </c>
      <c r="V227">
        <v>146.9</v>
      </c>
      <c r="W227">
        <v>149.5</v>
      </c>
      <c r="X227">
        <v>151.30000000000001</v>
      </c>
      <c r="Y227">
        <v>130.19999999999999</v>
      </c>
      <c r="Z227">
        <v>145.9</v>
      </c>
      <c r="AA227">
        <v>156.69999999999999</v>
      </c>
      <c r="AB227">
        <v>133.9</v>
      </c>
      <c r="AC227">
        <v>142.9</v>
      </c>
      <c r="AD227">
        <v>142.4</v>
      </c>
    </row>
    <row r="228" spans="1:30" x14ac:dyDescent="0.3">
      <c r="A228" t="s">
        <v>31</v>
      </c>
      <c r="B228">
        <v>2019</v>
      </c>
      <c r="C228" t="s">
        <v>36</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32</v>
      </c>
      <c r="B229">
        <v>2019</v>
      </c>
      <c r="C229" t="s">
        <v>36</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28</v>
      </c>
      <c r="B230">
        <v>2019</v>
      </c>
      <c r="C230" t="s">
        <v>37</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30</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31</v>
      </c>
      <c r="B231">
        <v>2019</v>
      </c>
      <c r="C231" t="s">
        <v>37</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32</v>
      </c>
      <c r="B232">
        <v>2019</v>
      </c>
      <c r="C232" t="s">
        <v>37</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28</v>
      </c>
      <c r="B233">
        <v>2019</v>
      </c>
      <c r="C233" t="s">
        <v>38</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30</v>
      </c>
      <c r="V233">
        <v>146.80000000000001</v>
      </c>
      <c r="W233">
        <v>150</v>
      </c>
      <c r="X233">
        <v>152.19999999999999</v>
      </c>
      <c r="Y233">
        <v>131.19999999999999</v>
      </c>
      <c r="Z233">
        <v>147.5</v>
      </c>
      <c r="AA233">
        <v>159.1</v>
      </c>
      <c r="AB233">
        <v>136.1</v>
      </c>
      <c r="AC233">
        <v>144.19999999999999</v>
      </c>
      <c r="AD233">
        <v>144.9</v>
      </c>
    </row>
    <row r="234" spans="1:30" x14ac:dyDescent="0.3">
      <c r="A234" t="s">
        <v>31</v>
      </c>
      <c r="B234">
        <v>2019</v>
      </c>
      <c r="C234" t="s">
        <v>38</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32</v>
      </c>
      <c r="B235">
        <v>2019</v>
      </c>
      <c r="C235" t="s">
        <v>38</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28</v>
      </c>
      <c r="B236">
        <v>2019</v>
      </c>
      <c r="C236" t="s">
        <v>39</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30</v>
      </c>
      <c r="V236">
        <v>146.4</v>
      </c>
      <c r="W236">
        <v>150.19999999999999</v>
      </c>
      <c r="X236">
        <v>152.69999999999999</v>
      </c>
      <c r="Y236">
        <v>131.4</v>
      </c>
      <c r="Z236">
        <v>148</v>
      </c>
      <c r="AA236">
        <v>159.69999999999999</v>
      </c>
      <c r="AB236">
        <v>138.80000000000001</v>
      </c>
      <c r="AC236">
        <v>144.9</v>
      </c>
      <c r="AD236">
        <v>145.69999999999999</v>
      </c>
    </row>
    <row r="237" spans="1:30" x14ac:dyDescent="0.3">
      <c r="A237" t="s">
        <v>31</v>
      </c>
      <c r="B237">
        <v>2019</v>
      </c>
      <c r="C237" t="s">
        <v>39</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32</v>
      </c>
      <c r="B238">
        <v>2019</v>
      </c>
      <c r="C238" t="s">
        <v>39</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28</v>
      </c>
      <c r="B239">
        <v>2019</v>
      </c>
      <c r="C239" t="s">
        <v>40</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30</v>
      </c>
      <c r="V239">
        <v>146.9</v>
      </c>
      <c r="W239">
        <v>150.30000000000001</v>
      </c>
      <c r="X239">
        <v>153.4</v>
      </c>
      <c r="Y239">
        <v>131.6</v>
      </c>
      <c r="Z239">
        <v>148.30000000000001</v>
      </c>
      <c r="AA239">
        <v>160.19999999999999</v>
      </c>
      <c r="AB239">
        <v>140.19999999999999</v>
      </c>
      <c r="AC239">
        <v>145.4</v>
      </c>
      <c r="AD239">
        <v>146.69999999999999</v>
      </c>
    </row>
    <row r="240" spans="1:30" x14ac:dyDescent="0.3">
      <c r="A240" t="s">
        <v>31</v>
      </c>
      <c r="B240">
        <v>2019</v>
      </c>
      <c r="C240" t="s">
        <v>40</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32</v>
      </c>
      <c r="B241">
        <v>2019</v>
      </c>
      <c r="C241" t="s">
        <v>40</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28</v>
      </c>
      <c r="B242">
        <v>2019</v>
      </c>
      <c r="C242" t="s">
        <v>41</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30</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31</v>
      </c>
      <c r="B243">
        <v>2019</v>
      </c>
      <c r="C243" t="s">
        <v>41</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32</v>
      </c>
      <c r="B244">
        <v>2019</v>
      </c>
      <c r="C244" t="s">
        <v>41</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28</v>
      </c>
      <c r="B245">
        <v>2019</v>
      </c>
      <c r="C245" t="s">
        <v>43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30</v>
      </c>
      <c r="V245">
        <v>148.4</v>
      </c>
      <c r="W245">
        <v>150.9</v>
      </c>
      <c r="X245">
        <v>154.30000000000001</v>
      </c>
      <c r="Y245">
        <v>132.1</v>
      </c>
      <c r="Z245">
        <v>149.1</v>
      </c>
      <c r="AA245">
        <v>160.80000000000001</v>
      </c>
      <c r="AB245">
        <v>140.6</v>
      </c>
      <c r="AC245">
        <v>146.1</v>
      </c>
      <c r="AD245">
        <v>149.9</v>
      </c>
    </row>
    <row r="246" spans="1:30" x14ac:dyDescent="0.3">
      <c r="A246" t="s">
        <v>31</v>
      </c>
      <c r="B246">
        <v>2019</v>
      </c>
      <c r="C246" t="s">
        <v>43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32</v>
      </c>
      <c r="B247">
        <v>2019</v>
      </c>
      <c r="C247" t="s">
        <v>43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28</v>
      </c>
      <c r="B248">
        <v>2019</v>
      </c>
      <c r="C248" t="s">
        <v>44</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30</v>
      </c>
      <c r="V248">
        <v>149.9</v>
      </c>
      <c r="W248">
        <v>151.19999999999999</v>
      </c>
      <c r="X248">
        <v>154.80000000000001</v>
      </c>
      <c r="Y248">
        <v>135</v>
      </c>
      <c r="Z248">
        <v>149.5</v>
      </c>
      <c r="AA248">
        <v>161.1</v>
      </c>
      <c r="AB248">
        <v>140.6</v>
      </c>
      <c r="AC248">
        <v>147.1</v>
      </c>
      <c r="AD248">
        <v>152.30000000000001</v>
      </c>
    </row>
    <row r="249" spans="1:30" x14ac:dyDescent="0.3">
      <c r="A249" t="s">
        <v>31</v>
      </c>
      <c r="B249">
        <v>2019</v>
      </c>
      <c r="C249" t="s">
        <v>44</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32</v>
      </c>
      <c r="B250">
        <v>2019</v>
      </c>
      <c r="C250" t="s">
        <v>44</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28</v>
      </c>
      <c r="B251">
        <v>2020</v>
      </c>
      <c r="C251" t="s">
        <v>29</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30</v>
      </c>
      <c r="V251">
        <v>150.4</v>
      </c>
      <c r="W251">
        <v>151.69999999999999</v>
      </c>
      <c r="X251">
        <v>155.69999999999999</v>
      </c>
      <c r="Y251">
        <v>136.30000000000001</v>
      </c>
      <c r="Z251">
        <v>150.1</v>
      </c>
      <c r="AA251">
        <v>161.69999999999999</v>
      </c>
      <c r="AB251">
        <v>142.5</v>
      </c>
      <c r="AC251">
        <v>148.1</v>
      </c>
      <c r="AD251">
        <v>151.9</v>
      </c>
    </row>
    <row r="252" spans="1:30" x14ac:dyDescent="0.3">
      <c r="A252" t="s">
        <v>31</v>
      </c>
      <c r="B252">
        <v>2020</v>
      </c>
      <c r="C252" t="s">
        <v>29</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32</v>
      </c>
      <c r="B253">
        <v>2020</v>
      </c>
      <c r="C253" t="s">
        <v>29</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28</v>
      </c>
      <c r="B254">
        <v>2020</v>
      </c>
      <c r="C254" t="s">
        <v>33</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30</v>
      </c>
      <c r="V254">
        <v>152.30000000000001</v>
      </c>
      <c r="W254">
        <v>151.80000000000001</v>
      </c>
      <c r="X254">
        <v>156.19999999999999</v>
      </c>
      <c r="Y254">
        <v>136</v>
      </c>
      <c r="Z254">
        <v>150.4</v>
      </c>
      <c r="AA254">
        <v>161.9</v>
      </c>
      <c r="AB254">
        <v>143.4</v>
      </c>
      <c r="AC254">
        <v>148.4</v>
      </c>
      <c r="AD254">
        <v>150.4</v>
      </c>
    </row>
    <row r="255" spans="1:30" x14ac:dyDescent="0.3">
      <c r="A255" t="s">
        <v>31</v>
      </c>
      <c r="B255">
        <v>2020</v>
      </c>
      <c r="C255" t="s">
        <v>33</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32</v>
      </c>
      <c r="B256">
        <v>2020</v>
      </c>
      <c r="C256" t="s">
        <v>33</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28</v>
      </c>
      <c r="B257">
        <v>2020</v>
      </c>
      <c r="C257" t="s">
        <v>34</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30</v>
      </c>
      <c r="V257">
        <v>153.4</v>
      </c>
      <c r="W257">
        <v>151.5</v>
      </c>
      <c r="X257">
        <v>156.69999999999999</v>
      </c>
      <c r="Y257">
        <v>135.80000000000001</v>
      </c>
      <c r="Z257">
        <v>151.19999999999999</v>
      </c>
      <c r="AA257">
        <v>161.19999999999999</v>
      </c>
      <c r="AB257">
        <v>145.1</v>
      </c>
      <c r="AC257">
        <v>148.6</v>
      </c>
      <c r="AD257">
        <v>149.80000000000001</v>
      </c>
    </row>
    <row r="258" spans="1:30" x14ac:dyDescent="0.3">
      <c r="A258" t="s">
        <v>31</v>
      </c>
      <c r="B258">
        <v>2020</v>
      </c>
      <c r="C258" t="s">
        <v>34</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32</v>
      </c>
      <c r="B259">
        <v>2020</v>
      </c>
      <c r="C259" t="s">
        <v>34</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28</v>
      </c>
      <c r="B260">
        <v>2020</v>
      </c>
      <c r="C260" t="s">
        <v>35</v>
      </c>
      <c r="D260">
        <v>147.19999999999999</v>
      </c>
      <c r="E260">
        <v>167.3</v>
      </c>
      <c r="F260">
        <v>146.9</v>
      </c>
      <c r="G260">
        <v>155.6</v>
      </c>
      <c r="H260">
        <v>137.1</v>
      </c>
      <c r="I260">
        <v>147.30000000000001</v>
      </c>
      <c r="J260">
        <v>162.69999999999999</v>
      </c>
      <c r="K260">
        <v>150.19999999999999</v>
      </c>
      <c r="L260">
        <v>119.8</v>
      </c>
      <c r="M260">
        <v>158.69999999999999</v>
      </c>
      <c r="N260">
        <v>139.19999999999999</v>
      </c>
      <c r="O260">
        <v>159</v>
      </c>
      <c r="P260">
        <v>150.1</v>
      </c>
      <c r="Q260">
        <v>170.5</v>
      </c>
      <c r="R260">
        <v>150.4</v>
      </c>
      <c r="S260">
        <v>140.9</v>
      </c>
      <c r="T260">
        <v>149</v>
      </c>
      <c r="U260" t="s">
        <v>30</v>
      </c>
      <c r="V260">
        <v>148.4</v>
      </c>
      <c r="W260">
        <v>146.1</v>
      </c>
      <c r="X260">
        <v>154.30000000000001</v>
      </c>
      <c r="Y260">
        <v>130.5</v>
      </c>
      <c r="Z260">
        <v>143.80000000000001</v>
      </c>
      <c r="AA260">
        <v>156.6</v>
      </c>
      <c r="AB260">
        <v>143.6</v>
      </c>
      <c r="AC260">
        <v>143.4</v>
      </c>
      <c r="AD260">
        <v>149.19999999999999</v>
      </c>
    </row>
    <row r="261" spans="1:30" x14ac:dyDescent="0.3">
      <c r="A261" t="s">
        <v>31</v>
      </c>
      <c r="B261">
        <v>2020</v>
      </c>
      <c r="C261" t="s">
        <v>35</v>
      </c>
      <c r="D261">
        <v>151.80000000000001</v>
      </c>
      <c r="E261">
        <v>167.3</v>
      </c>
      <c r="F261">
        <v>151.9</v>
      </c>
      <c r="G261">
        <v>155.5</v>
      </c>
      <c r="H261">
        <v>131.6</v>
      </c>
      <c r="I261">
        <v>152.9</v>
      </c>
      <c r="J261">
        <v>180</v>
      </c>
      <c r="K261">
        <v>150.80000000000001</v>
      </c>
      <c r="L261">
        <v>121.2</v>
      </c>
      <c r="M261">
        <v>154</v>
      </c>
      <c r="N261">
        <v>133.5</v>
      </c>
      <c r="O261">
        <v>159</v>
      </c>
      <c r="P261">
        <v>153.5</v>
      </c>
      <c r="Q261">
        <v>170.5</v>
      </c>
      <c r="R261">
        <v>150.4</v>
      </c>
      <c r="S261">
        <v>140.9</v>
      </c>
      <c r="T261">
        <v>149</v>
      </c>
      <c r="U261">
        <v>155.6</v>
      </c>
      <c r="V261">
        <v>137.1</v>
      </c>
      <c r="W261">
        <v>146.1</v>
      </c>
      <c r="X261">
        <v>144.80000000000001</v>
      </c>
      <c r="Y261">
        <v>130.5</v>
      </c>
      <c r="Z261">
        <v>143.80000000000001</v>
      </c>
      <c r="AA261">
        <v>156.6</v>
      </c>
      <c r="AB261">
        <v>143.6</v>
      </c>
      <c r="AC261">
        <v>143.4</v>
      </c>
      <c r="AD261">
        <v>149.19999999999999</v>
      </c>
    </row>
    <row r="262" spans="1:30" x14ac:dyDescent="0.3">
      <c r="A262" t="s">
        <v>32</v>
      </c>
      <c r="B262">
        <v>2020</v>
      </c>
      <c r="C262" t="s">
        <v>35</v>
      </c>
      <c r="D262">
        <v>148.69999999999999</v>
      </c>
      <c r="E262">
        <v>167.3</v>
      </c>
      <c r="F262">
        <v>148.80000000000001</v>
      </c>
      <c r="G262">
        <v>155.6</v>
      </c>
      <c r="H262">
        <v>135.1</v>
      </c>
      <c r="I262">
        <v>149.9</v>
      </c>
      <c r="J262">
        <v>168.6</v>
      </c>
      <c r="K262">
        <v>150.4</v>
      </c>
      <c r="L262">
        <v>120.3</v>
      </c>
      <c r="M262">
        <v>157.1</v>
      </c>
      <c r="N262">
        <v>136.80000000000001</v>
      </c>
      <c r="O262">
        <v>159</v>
      </c>
      <c r="P262">
        <v>151.4</v>
      </c>
      <c r="Q262">
        <v>170.5</v>
      </c>
      <c r="R262">
        <v>150.4</v>
      </c>
      <c r="S262">
        <v>140.9</v>
      </c>
      <c r="T262">
        <v>149</v>
      </c>
      <c r="U262">
        <v>155.6</v>
      </c>
      <c r="V262">
        <v>144.1</v>
      </c>
      <c r="W262">
        <v>146.1</v>
      </c>
      <c r="X262">
        <v>150.69999999999999</v>
      </c>
      <c r="Y262">
        <v>130.5</v>
      </c>
      <c r="Z262">
        <v>143.80000000000001</v>
      </c>
      <c r="AA262">
        <v>156.6</v>
      </c>
      <c r="AB262">
        <v>143.6</v>
      </c>
      <c r="AC262">
        <v>143.4</v>
      </c>
      <c r="AD262">
        <v>149.19999999999999</v>
      </c>
    </row>
    <row r="263" spans="1:30" x14ac:dyDescent="0.3">
      <c r="A263" t="s">
        <v>28</v>
      </c>
      <c r="B263">
        <v>2020</v>
      </c>
      <c r="C263" t="s">
        <v>37</v>
      </c>
      <c r="D263">
        <v>148.19999999999999</v>
      </c>
      <c r="E263">
        <v>190.3</v>
      </c>
      <c r="F263">
        <v>149.4</v>
      </c>
      <c r="G263">
        <v>153.30000000000001</v>
      </c>
      <c r="H263">
        <v>138.19999999999999</v>
      </c>
      <c r="I263">
        <v>143.19999999999999</v>
      </c>
      <c r="J263">
        <v>148.9</v>
      </c>
      <c r="K263">
        <v>150.30000000000001</v>
      </c>
      <c r="L263">
        <v>113.2</v>
      </c>
      <c r="M263">
        <v>159.80000000000001</v>
      </c>
      <c r="N263">
        <v>142.1</v>
      </c>
      <c r="O263">
        <v>161.80000000000001</v>
      </c>
      <c r="P263">
        <v>152.30000000000001</v>
      </c>
      <c r="Q263">
        <v>182.4</v>
      </c>
      <c r="R263">
        <v>154.69999999999999</v>
      </c>
      <c r="S263">
        <v>150</v>
      </c>
      <c r="T263">
        <v>154.1</v>
      </c>
      <c r="U263" t="s">
        <v>30</v>
      </c>
      <c r="V263">
        <v>144.9</v>
      </c>
      <c r="W263">
        <v>151.69999999999999</v>
      </c>
      <c r="X263">
        <v>158.19999999999999</v>
      </c>
      <c r="Y263">
        <v>141.4</v>
      </c>
      <c r="Z263">
        <v>153.19999999999999</v>
      </c>
      <c r="AA263">
        <v>161.80000000000001</v>
      </c>
      <c r="AB263">
        <v>151.19999999999999</v>
      </c>
      <c r="AC263">
        <v>151.69999999999999</v>
      </c>
      <c r="AD263">
        <v>152.69999999999999</v>
      </c>
    </row>
    <row r="264" spans="1:30" x14ac:dyDescent="0.3">
      <c r="A264" t="s">
        <v>31</v>
      </c>
      <c r="B264">
        <v>2020</v>
      </c>
      <c r="C264" t="s">
        <v>37</v>
      </c>
      <c r="D264">
        <v>152.69999999999999</v>
      </c>
      <c r="E264">
        <v>197</v>
      </c>
      <c r="F264">
        <v>154.6</v>
      </c>
      <c r="G264">
        <v>153.4</v>
      </c>
      <c r="H264">
        <v>132.9</v>
      </c>
      <c r="I264">
        <v>151.80000000000001</v>
      </c>
      <c r="J264">
        <v>171.2</v>
      </c>
      <c r="K264">
        <v>152</v>
      </c>
      <c r="L264">
        <v>116.3</v>
      </c>
      <c r="M264">
        <v>158.80000000000001</v>
      </c>
      <c r="N264">
        <v>135.6</v>
      </c>
      <c r="O264">
        <v>161.69999999999999</v>
      </c>
      <c r="P264">
        <v>157</v>
      </c>
      <c r="Q264">
        <v>186.7</v>
      </c>
      <c r="R264">
        <v>149.1</v>
      </c>
      <c r="S264">
        <v>136.6</v>
      </c>
      <c r="T264">
        <v>147.19999999999999</v>
      </c>
      <c r="U264">
        <v>154.69999999999999</v>
      </c>
      <c r="V264">
        <v>137.1</v>
      </c>
      <c r="W264">
        <v>140.4</v>
      </c>
      <c r="X264">
        <v>148.1</v>
      </c>
      <c r="Y264">
        <v>129.30000000000001</v>
      </c>
      <c r="Z264">
        <v>144.5</v>
      </c>
      <c r="AA264">
        <v>152.5</v>
      </c>
      <c r="AB264">
        <v>152.19999999999999</v>
      </c>
      <c r="AC264">
        <v>142</v>
      </c>
      <c r="AD264">
        <v>150.80000000000001</v>
      </c>
    </row>
    <row r="265" spans="1:30" x14ac:dyDescent="0.3">
      <c r="A265" t="s">
        <v>32</v>
      </c>
      <c r="B265">
        <v>2020</v>
      </c>
      <c r="C265" t="s">
        <v>37</v>
      </c>
      <c r="D265">
        <v>149.6</v>
      </c>
      <c r="E265">
        <v>192.7</v>
      </c>
      <c r="F265">
        <v>151.4</v>
      </c>
      <c r="G265">
        <v>153.30000000000001</v>
      </c>
      <c r="H265">
        <v>136.30000000000001</v>
      </c>
      <c r="I265">
        <v>147.19999999999999</v>
      </c>
      <c r="J265">
        <v>156.5</v>
      </c>
      <c r="K265">
        <v>150.9</v>
      </c>
      <c r="L265">
        <v>114.2</v>
      </c>
      <c r="M265">
        <v>159.5</v>
      </c>
      <c r="N265">
        <v>139.4</v>
      </c>
      <c r="O265">
        <v>161.80000000000001</v>
      </c>
      <c r="P265">
        <v>154</v>
      </c>
      <c r="Q265">
        <v>183.5</v>
      </c>
      <c r="R265">
        <v>152.5</v>
      </c>
      <c r="S265">
        <v>144.4</v>
      </c>
      <c r="T265">
        <v>151.4</v>
      </c>
      <c r="U265">
        <v>154.69999999999999</v>
      </c>
      <c r="V265">
        <v>141.9</v>
      </c>
      <c r="W265">
        <v>146.4</v>
      </c>
      <c r="X265">
        <v>154.4</v>
      </c>
      <c r="Y265">
        <v>135</v>
      </c>
      <c r="Z265">
        <v>148.30000000000001</v>
      </c>
      <c r="AA265">
        <v>156.4</v>
      </c>
      <c r="AB265">
        <v>151.6</v>
      </c>
      <c r="AC265">
        <v>147</v>
      </c>
      <c r="AD265">
        <v>151.80000000000001</v>
      </c>
    </row>
    <row r="266" spans="1:30" x14ac:dyDescent="0.3">
      <c r="A266" t="s">
        <v>28</v>
      </c>
      <c r="B266">
        <v>2020</v>
      </c>
      <c r="C266" t="s">
        <v>38</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30</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31</v>
      </c>
      <c r="B267">
        <v>2020</v>
      </c>
      <c r="C267" t="s">
        <v>38</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32</v>
      </c>
      <c r="B268">
        <v>2020</v>
      </c>
      <c r="C268" t="s">
        <v>38</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28</v>
      </c>
      <c r="B269">
        <v>2020</v>
      </c>
      <c r="C269" t="s">
        <v>39</v>
      </c>
      <c r="D269">
        <v>147.6</v>
      </c>
      <c r="E269">
        <v>187.2</v>
      </c>
      <c r="F269">
        <v>148.4</v>
      </c>
      <c r="G269">
        <v>153.30000000000001</v>
      </c>
      <c r="H269">
        <v>139.80000000000001</v>
      </c>
      <c r="I269">
        <v>146.9</v>
      </c>
      <c r="J269">
        <v>171</v>
      </c>
      <c r="K269">
        <v>149.9</v>
      </c>
      <c r="L269">
        <v>114.2</v>
      </c>
      <c r="M269">
        <v>160</v>
      </c>
      <c r="N269">
        <v>143.5</v>
      </c>
      <c r="O269">
        <v>161.5</v>
      </c>
      <c r="P269">
        <v>155.30000000000001</v>
      </c>
      <c r="Q269">
        <v>180.9</v>
      </c>
      <c r="R269">
        <v>155.1</v>
      </c>
      <c r="S269">
        <v>149.30000000000001</v>
      </c>
      <c r="T269">
        <v>154.30000000000001</v>
      </c>
      <c r="U269" t="s">
        <v>30</v>
      </c>
      <c r="V269">
        <v>145.80000000000001</v>
      </c>
      <c r="W269">
        <v>151.9</v>
      </c>
      <c r="X269">
        <v>158.80000000000001</v>
      </c>
      <c r="Y269">
        <v>143.6</v>
      </c>
      <c r="Z269">
        <v>152.19999999999999</v>
      </c>
      <c r="AA269">
        <v>162.69999999999999</v>
      </c>
      <c r="AB269">
        <v>153.6</v>
      </c>
      <c r="AC269">
        <v>153</v>
      </c>
      <c r="AD269">
        <v>154.69999999999999</v>
      </c>
    </row>
    <row r="270" spans="1:30" x14ac:dyDescent="0.3">
      <c r="A270" t="s">
        <v>31</v>
      </c>
      <c r="B270">
        <v>2020</v>
      </c>
      <c r="C270" t="s">
        <v>39</v>
      </c>
      <c r="D270">
        <v>151.6</v>
      </c>
      <c r="E270">
        <v>197.8</v>
      </c>
      <c r="F270">
        <v>154.5</v>
      </c>
      <c r="G270">
        <v>153.4</v>
      </c>
      <c r="H270">
        <v>133.4</v>
      </c>
      <c r="I270">
        <v>154.5</v>
      </c>
      <c r="J270">
        <v>191.9</v>
      </c>
      <c r="K270">
        <v>151.30000000000001</v>
      </c>
      <c r="L270">
        <v>116.8</v>
      </c>
      <c r="M270">
        <v>160</v>
      </c>
      <c r="N270">
        <v>136.5</v>
      </c>
      <c r="O270">
        <v>163.30000000000001</v>
      </c>
      <c r="P270">
        <v>159.9</v>
      </c>
      <c r="Q270">
        <v>187.2</v>
      </c>
      <c r="R270">
        <v>150</v>
      </c>
      <c r="S270">
        <v>135.19999999999999</v>
      </c>
      <c r="T270">
        <v>147.80000000000001</v>
      </c>
      <c r="U270">
        <v>155.5</v>
      </c>
      <c r="V270">
        <v>138.30000000000001</v>
      </c>
      <c r="W270">
        <v>144.5</v>
      </c>
      <c r="X270">
        <v>148.69999999999999</v>
      </c>
      <c r="Y270">
        <v>133.9</v>
      </c>
      <c r="Z270">
        <v>141.19999999999999</v>
      </c>
      <c r="AA270">
        <v>155.5</v>
      </c>
      <c r="AB270">
        <v>155.19999999999999</v>
      </c>
      <c r="AC270">
        <v>144.80000000000001</v>
      </c>
      <c r="AD270">
        <v>152.9</v>
      </c>
    </row>
    <row r="271" spans="1:30" x14ac:dyDescent="0.3">
      <c r="A271" t="s">
        <v>32</v>
      </c>
      <c r="B271">
        <v>2020</v>
      </c>
      <c r="C271" t="s">
        <v>39</v>
      </c>
      <c r="D271">
        <v>148.9</v>
      </c>
      <c r="E271">
        <v>190.9</v>
      </c>
      <c r="F271">
        <v>150.80000000000001</v>
      </c>
      <c r="G271">
        <v>153.30000000000001</v>
      </c>
      <c r="H271">
        <v>137.4</v>
      </c>
      <c r="I271">
        <v>150.4</v>
      </c>
      <c r="J271">
        <v>178.1</v>
      </c>
      <c r="K271">
        <v>150.4</v>
      </c>
      <c r="L271">
        <v>115.1</v>
      </c>
      <c r="M271">
        <v>160</v>
      </c>
      <c r="N271">
        <v>140.6</v>
      </c>
      <c r="O271">
        <v>162.30000000000001</v>
      </c>
      <c r="P271">
        <v>157</v>
      </c>
      <c r="Q271">
        <v>182.6</v>
      </c>
      <c r="R271">
        <v>153.1</v>
      </c>
      <c r="S271">
        <v>143.4</v>
      </c>
      <c r="T271">
        <v>151.69999999999999</v>
      </c>
      <c r="U271">
        <v>155.5</v>
      </c>
      <c r="V271">
        <v>143</v>
      </c>
      <c r="W271">
        <v>148.4</v>
      </c>
      <c r="X271">
        <v>155</v>
      </c>
      <c r="Y271">
        <v>138.5</v>
      </c>
      <c r="Z271">
        <v>146</v>
      </c>
      <c r="AA271">
        <v>158.5</v>
      </c>
      <c r="AB271">
        <v>154.30000000000001</v>
      </c>
      <c r="AC271">
        <v>149</v>
      </c>
      <c r="AD271">
        <v>153.9</v>
      </c>
    </row>
    <row r="272" spans="1:30" x14ac:dyDescent="0.3">
      <c r="A272" t="s">
        <v>28</v>
      </c>
      <c r="B272">
        <v>2020</v>
      </c>
      <c r="C272" t="s">
        <v>40</v>
      </c>
      <c r="D272">
        <v>146.9</v>
      </c>
      <c r="E272">
        <v>183.9</v>
      </c>
      <c r="F272">
        <v>149.5</v>
      </c>
      <c r="G272">
        <v>153.4</v>
      </c>
      <c r="H272">
        <v>140.4</v>
      </c>
      <c r="I272">
        <v>147</v>
      </c>
      <c r="J272">
        <v>178.8</v>
      </c>
      <c r="K272">
        <v>149.30000000000001</v>
      </c>
      <c r="L272">
        <v>115.1</v>
      </c>
      <c r="M272">
        <v>160</v>
      </c>
      <c r="N272">
        <v>145.4</v>
      </c>
      <c r="O272">
        <v>161.6</v>
      </c>
      <c r="P272">
        <v>156.1</v>
      </c>
      <c r="Q272">
        <v>182.9</v>
      </c>
      <c r="R272">
        <v>155.4</v>
      </c>
      <c r="S272">
        <v>149.9</v>
      </c>
      <c r="T272">
        <v>154.6</v>
      </c>
      <c r="U272" t="s">
        <v>30</v>
      </c>
      <c r="V272">
        <v>146.4</v>
      </c>
      <c r="W272">
        <v>151.6</v>
      </c>
      <c r="X272">
        <v>159.1</v>
      </c>
      <c r="Y272">
        <v>144.6</v>
      </c>
      <c r="Z272">
        <v>152.80000000000001</v>
      </c>
      <c r="AA272">
        <v>161.1</v>
      </c>
      <c r="AB272">
        <v>157.4</v>
      </c>
      <c r="AC272">
        <v>153.69999999999999</v>
      </c>
      <c r="AD272">
        <v>155.4</v>
      </c>
    </row>
    <row r="273" spans="1:30" x14ac:dyDescent="0.3">
      <c r="A273" t="s">
        <v>31</v>
      </c>
      <c r="B273">
        <v>2020</v>
      </c>
      <c r="C273" t="s">
        <v>40</v>
      </c>
      <c r="D273">
        <v>151.5</v>
      </c>
      <c r="E273">
        <v>193.1</v>
      </c>
      <c r="F273">
        <v>157.30000000000001</v>
      </c>
      <c r="G273">
        <v>153.9</v>
      </c>
      <c r="H273">
        <v>134.4</v>
      </c>
      <c r="I273">
        <v>155.4</v>
      </c>
      <c r="J273">
        <v>202</v>
      </c>
      <c r="K273">
        <v>150.80000000000001</v>
      </c>
      <c r="L273">
        <v>118.9</v>
      </c>
      <c r="M273">
        <v>160.9</v>
      </c>
      <c r="N273">
        <v>137.69999999999999</v>
      </c>
      <c r="O273">
        <v>164.4</v>
      </c>
      <c r="P273">
        <v>161.30000000000001</v>
      </c>
      <c r="Q273">
        <v>188.7</v>
      </c>
      <c r="R273">
        <v>150.19999999999999</v>
      </c>
      <c r="S273">
        <v>136.30000000000001</v>
      </c>
      <c r="T273">
        <v>148.1</v>
      </c>
      <c r="U273">
        <v>156.30000000000001</v>
      </c>
      <c r="V273">
        <v>137.19999999999999</v>
      </c>
      <c r="W273">
        <v>145.4</v>
      </c>
      <c r="X273">
        <v>150</v>
      </c>
      <c r="Y273">
        <v>135.1</v>
      </c>
      <c r="Z273">
        <v>141.80000000000001</v>
      </c>
      <c r="AA273">
        <v>154.9</v>
      </c>
      <c r="AB273">
        <v>159.80000000000001</v>
      </c>
      <c r="AC273">
        <v>146</v>
      </c>
      <c r="AD273">
        <v>154</v>
      </c>
    </row>
    <row r="274" spans="1:30" x14ac:dyDescent="0.3">
      <c r="A274" t="s">
        <v>32</v>
      </c>
      <c r="B274">
        <v>2020</v>
      </c>
      <c r="C274" t="s">
        <v>40</v>
      </c>
      <c r="D274">
        <v>148.4</v>
      </c>
      <c r="E274">
        <v>187.1</v>
      </c>
      <c r="F274">
        <v>152.5</v>
      </c>
      <c r="G274">
        <v>153.6</v>
      </c>
      <c r="H274">
        <v>138.19999999999999</v>
      </c>
      <c r="I274">
        <v>150.9</v>
      </c>
      <c r="J274">
        <v>186.7</v>
      </c>
      <c r="K274">
        <v>149.80000000000001</v>
      </c>
      <c r="L274">
        <v>116.4</v>
      </c>
      <c r="M274">
        <v>160.30000000000001</v>
      </c>
      <c r="N274">
        <v>142.19999999999999</v>
      </c>
      <c r="O274">
        <v>162.9</v>
      </c>
      <c r="P274">
        <v>158</v>
      </c>
      <c r="Q274">
        <v>184.4</v>
      </c>
      <c r="R274">
        <v>153.4</v>
      </c>
      <c r="S274">
        <v>144.30000000000001</v>
      </c>
      <c r="T274">
        <v>152</v>
      </c>
      <c r="U274">
        <v>156.30000000000001</v>
      </c>
      <c r="V274">
        <v>142.9</v>
      </c>
      <c r="W274">
        <v>148.69999999999999</v>
      </c>
      <c r="X274">
        <v>155.6</v>
      </c>
      <c r="Y274">
        <v>139.6</v>
      </c>
      <c r="Z274">
        <v>146.6</v>
      </c>
      <c r="AA274">
        <v>157.5</v>
      </c>
      <c r="AB274">
        <v>158.4</v>
      </c>
      <c r="AC274">
        <v>150</v>
      </c>
      <c r="AD274">
        <v>154.69999999999999</v>
      </c>
    </row>
    <row r="275" spans="1:30" x14ac:dyDescent="0.3">
      <c r="A275" t="s">
        <v>28</v>
      </c>
      <c r="B275">
        <v>2020</v>
      </c>
      <c r="C275" t="s">
        <v>41</v>
      </c>
      <c r="D275">
        <v>146</v>
      </c>
      <c r="E275">
        <v>186.3</v>
      </c>
      <c r="F275">
        <v>159.19999999999999</v>
      </c>
      <c r="G275">
        <v>153.6</v>
      </c>
      <c r="H275">
        <v>142.6</v>
      </c>
      <c r="I275">
        <v>147.19999999999999</v>
      </c>
      <c r="J275">
        <v>200.6</v>
      </c>
      <c r="K275">
        <v>150.30000000000001</v>
      </c>
      <c r="L275">
        <v>115.3</v>
      </c>
      <c r="M275">
        <v>160.9</v>
      </c>
      <c r="N275">
        <v>147.4</v>
      </c>
      <c r="O275">
        <v>161.9</v>
      </c>
      <c r="P275">
        <v>159.6</v>
      </c>
      <c r="Q275">
        <v>182.7</v>
      </c>
      <c r="R275">
        <v>155.69999999999999</v>
      </c>
      <c r="S275">
        <v>150.6</v>
      </c>
      <c r="T275">
        <v>155</v>
      </c>
      <c r="U275" t="s">
        <v>30</v>
      </c>
      <c r="V275">
        <v>146.80000000000001</v>
      </c>
      <c r="W275">
        <v>152</v>
      </c>
      <c r="X275">
        <v>159.5</v>
      </c>
      <c r="Y275">
        <v>146.4</v>
      </c>
      <c r="Z275">
        <v>152.4</v>
      </c>
      <c r="AA275">
        <v>162.5</v>
      </c>
      <c r="AB275">
        <v>156.19999999999999</v>
      </c>
      <c r="AC275">
        <v>154.30000000000001</v>
      </c>
      <c r="AD275">
        <v>157.5</v>
      </c>
    </row>
    <row r="276" spans="1:30" x14ac:dyDescent="0.3">
      <c r="A276" t="s">
        <v>31</v>
      </c>
      <c r="B276">
        <v>2020</v>
      </c>
      <c r="C276" t="s">
        <v>41</v>
      </c>
      <c r="D276">
        <v>150.6</v>
      </c>
      <c r="E276">
        <v>193.7</v>
      </c>
      <c r="F276">
        <v>164.8</v>
      </c>
      <c r="G276">
        <v>153.69999999999999</v>
      </c>
      <c r="H276">
        <v>135.69999999999999</v>
      </c>
      <c r="I276">
        <v>155.69999999999999</v>
      </c>
      <c r="J276">
        <v>226</v>
      </c>
      <c r="K276">
        <v>152.19999999999999</v>
      </c>
      <c r="L276">
        <v>118.1</v>
      </c>
      <c r="M276">
        <v>161.30000000000001</v>
      </c>
      <c r="N276">
        <v>139.19999999999999</v>
      </c>
      <c r="O276">
        <v>164.8</v>
      </c>
      <c r="P276">
        <v>164.4</v>
      </c>
      <c r="Q276">
        <v>188.7</v>
      </c>
      <c r="R276">
        <v>150.5</v>
      </c>
      <c r="S276">
        <v>136.1</v>
      </c>
      <c r="T276">
        <v>148.30000000000001</v>
      </c>
      <c r="U276">
        <v>156.5</v>
      </c>
      <c r="V276">
        <v>137.1</v>
      </c>
      <c r="W276">
        <v>145.1</v>
      </c>
      <c r="X276">
        <v>151</v>
      </c>
      <c r="Y276">
        <v>135.4</v>
      </c>
      <c r="Z276">
        <v>142</v>
      </c>
      <c r="AA276">
        <v>155.69999999999999</v>
      </c>
      <c r="AB276">
        <v>158.1</v>
      </c>
      <c r="AC276">
        <v>146.19999999999999</v>
      </c>
      <c r="AD276">
        <v>155.19999999999999</v>
      </c>
    </row>
    <row r="277" spans="1:30" x14ac:dyDescent="0.3">
      <c r="A277" t="s">
        <v>32</v>
      </c>
      <c r="B277">
        <v>2020</v>
      </c>
      <c r="C277" t="s">
        <v>41</v>
      </c>
      <c r="D277">
        <v>147.5</v>
      </c>
      <c r="E277">
        <v>188.9</v>
      </c>
      <c r="F277">
        <v>161.4</v>
      </c>
      <c r="G277">
        <v>153.6</v>
      </c>
      <c r="H277">
        <v>140.1</v>
      </c>
      <c r="I277">
        <v>151.19999999999999</v>
      </c>
      <c r="J277">
        <v>209.2</v>
      </c>
      <c r="K277">
        <v>150.9</v>
      </c>
      <c r="L277">
        <v>116.2</v>
      </c>
      <c r="M277">
        <v>161</v>
      </c>
      <c r="N277">
        <v>144</v>
      </c>
      <c r="O277">
        <v>163.19999999999999</v>
      </c>
      <c r="P277">
        <v>161.4</v>
      </c>
      <c r="Q277">
        <v>184.3</v>
      </c>
      <c r="R277">
        <v>153.69999999999999</v>
      </c>
      <c r="S277">
        <v>144.6</v>
      </c>
      <c r="T277">
        <v>152.30000000000001</v>
      </c>
      <c r="U277">
        <v>156.5</v>
      </c>
      <c r="V277">
        <v>143.1</v>
      </c>
      <c r="W277">
        <v>148.69999999999999</v>
      </c>
      <c r="X277">
        <v>156.30000000000001</v>
      </c>
      <c r="Y277">
        <v>140.6</v>
      </c>
      <c r="Z277">
        <v>146.5</v>
      </c>
      <c r="AA277">
        <v>158.5</v>
      </c>
      <c r="AB277">
        <v>157</v>
      </c>
      <c r="AC277">
        <v>150.4</v>
      </c>
      <c r="AD277">
        <v>156.4</v>
      </c>
    </row>
    <row r="278" spans="1:30" x14ac:dyDescent="0.3">
      <c r="A278" t="s">
        <v>28</v>
      </c>
      <c r="B278">
        <v>2020</v>
      </c>
      <c r="C278" t="s">
        <v>43</v>
      </c>
      <c r="D278">
        <v>145.4</v>
      </c>
      <c r="E278">
        <v>188.6</v>
      </c>
      <c r="F278">
        <v>171.6</v>
      </c>
      <c r="G278">
        <v>153.80000000000001</v>
      </c>
      <c r="H278">
        <v>145.4</v>
      </c>
      <c r="I278">
        <v>146.5</v>
      </c>
      <c r="J278">
        <v>222.2</v>
      </c>
      <c r="K278">
        <v>155.9</v>
      </c>
      <c r="L278">
        <v>114.9</v>
      </c>
      <c r="M278">
        <v>162</v>
      </c>
      <c r="N278">
        <v>150</v>
      </c>
      <c r="O278">
        <v>162.69999999999999</v>
      </c>
      <c r="P278">
        <v>163.4</v>
      </c>
      <c r="Q278">
        <v>183.4</v>
      </c>
      <c r="R278">
        <v>156.30000000000001</v>
      </c>
      <c r="S278">
        <v>151</v>
      </c>
      <c r="T278">
        <v>155.5</v>
      </c>
      <c r="U278" t="s">
        <v>30</v>
      </c>
      <c r="V278">
        <v>147.5</v>
      </c>
      <c r="W278">
        <v>152.80000000000001</v>
      </c>
      <c r="X278">
        <v>160.4</v>
      </c>
      <c r="Y278">
        <v>146.1</v>
      </c>
      <c r="Z278">
        <v>153.6</v>
      </c>
      <c r="AA278">
        <v>161.6</v>
      </c>
      <c r="AB278">
        <v>156.19999999999999</v>
      </c>
      <c r="AC278">
        <v>154.5</v>
      </c>
      <c r="AD278">
        <v>159.80000000000001</v>
      </c>
    </row>
    <row r="279" spans="1:30" x14ac:dyDescent="0.3">
      <c r="A279" t="s">
        <v>31</v>
      </c>
      <c r="B279">
        <v>2020</v>
      </c>
      <c r="C279" t="s">
        <v>43</v>
      </c>
      <c r="D279">
        <v>149.69999999999999</v>
      </c>
      <c r="E279">
        <v>195.5</v>
      </c>
      <c r="F279">
        <v>176.9</v>
      </c>
      <c r="G279">
        <v>153.9</v>
      </c>
      <c r="H279">
        <v>138</v>
      </c>
      <c r="I279">
        <v>150.5</v>
      </c>
      <c r="J279">
        <v>245.3</v>
      </c>
      <c r="K279">
        <v>158.69999999999999</v>
      </c>
      <c r="L279">
        <v>117.2</v>
      </c>
      <c r="M279">
        <v>161.4</v>
      </c>
      <c r="N279">
        <v>141.5</v>
      </c>
      <c r="O279">
        <v>165.1</v>
      </c>
      <c r="P279">
        <v>167</v>
      </c>
      <c r="Q279">
        <v>188.8</v>
      </c>
      <c r="R279">
        <v>151.1</v>
      </c>
      <c r="S279">
        <v>136.4</v>
      </c>
      <c r="T279">
        <v>148.80000000000001</v>
      </c>
      <c r="U279">
        <v>158</v>
      </c>
      <c r="V279">
        <v>137.30000000000001</v>
      </c>
      <c r="W279">
        <v>145.1</v>
      </c>
      <c r="X279">
        <v>152</v>
      </c>
      <c r="Y279">
        <v>135.19999999999999</v>
      </c>
      <c r="Z279">
        <v>144.4</v>
      </c>
      <c r="AA279">
        <v>156.4</v>
      </c>
      <c r="AB279">
        <v>157.9</v>
      </c>
      <c r="AC279">
        <v>146.6</v>
      </c>
      <c r="AD279">
        <v>156.69999999999999</v>
      </c>
    </row>
    <row r="280" spans="1:30" x14ac:dyDescent="0.3">
      <c r="A280" t="s">
        <v>32</v>
      </c>
      <c r="B280">
        <v>2020</v>
      </c>
      <c r="C280" t="s">
        <v>43</v>
      </c>
      <c r="D280">
        <v>146.80000000000001</v>
      </c>
      <c r="E280">
        <v>191</v>
      </c>
      <c r="F280">
        <v>173.6</v>
      </c>
      <c r="G280">
        <v>153.80000000000001</v>
      </c>
      <c r="H280">
        <v>142.69999999999999</v>
      </c>
      <c r="I280">
        <v>148.4</v>
      </c>
      <c r="J280">
        <v>230</v>
      </c>
      <c r="K280">
        <v>156.80000000000001</v>
      </c>
      <c r="L280">
        <v>115.7</v>
      </c>
      <c r="M280">
        <v>161.80000000000001</v>
      </c>
      <c r="N280">
        <v>146.5</v>
      </c>
      <c r="O280">
        <v>163.80000000000001</v>
      </c>
      <c r="P280">
        <v>164.7</v>
      </c>
      <c r="Q280">
        <v>184.8</v>
      </c>
      <c r="R280">
        <v>154.30000000000001</v>
      </c>
      <c r="S280">
        <v>144.9</v>
      </c>
      <c r="T280">
        <v>152.80000000000001</v>
      </c>
      <c r="U280">
        <v>158</v>
      </c>
      <c r="V280">
        <v>143.6</v>
      </c>
      <c r="W280">
        <v>149.19999999999999</v>
      </c>
      <c r="X280">
        <v>157.19999999999999</v>
      </c>
      <c r="Y280">
        <v>140.4</v>
      </c>
      <c r="Z280">
        <v>148.4</v>
      </c>
      <c r="AA280">
        <v>158.6</v>
      </c>
      <c r="AB280">
        <v>156.9</v>
      </c>
      <c r="AC280">
        <v>150.69999999999999</v>
      </c>
      <c r="AD280">
        <v>158.4</v>
      </c>
    </row>
    <row r="281" spans="1:30" x14ac:dyDescent="0.3">
      <c r="A281" t="s">
        <v>28</v>
      </c>
      <c r="B281">
        <v>2020</v>
      </c>
      <c r="C281" t="s">
        <v>44</v>
      </c>
      <c r="D281">
        <v>144.6</v>
      </c>
      <c r="E281">
        <v>188.5</v>
      </c>
      <c r="F281">
        <v>173.4</v>
      </c>
      <c r="G281">
        <v>154</v>
      </c>
      <c r="H281">
        <v>150</v>
      </c>
      <c r="I281">
        <v>145.9</v>
      </c>
      <c r="J281">
        <v>225.2</v>
      </c>
      <c r="K281">
        <v>159.5</v>
      </c>
      <c r="L281">
        <v>114.4</v>
      </c>
      <c r="M281">
        <v>163.5</v>
      </c>
      <c r="N281">
        <v>153.4</v>
      </c>
      <c r="O281">
        <v>163.6</v>
      </c>
      <c r="P281">
        <v>164.5</v>
      </c>
      <c r="Q281">
        <v>183.6</v>
      </c>
      <c r="R281">
        <v>157</v>
      </c>
      <c r="S281">
        <v>151.6</v>
      </c>
      <c r="T281">
        <v>156.30000000000001</v>
      </c>
      <c r="U281" t="s">
        <v>30</v>
      </c>
      <c r="V281">
        <v>148.69999999999999</v>
      </c>
      <c r="W281">
        <v>153.4</v>
      </c>
      <c r="X281">
        <v>161.6</v>
      </c>
      <c r="Y281">
        <v>146.4</v>
      </c>
      <c r="Z281">
        <v>153.9</v>
      </c>
      <c r="AA281">
        <v>162.9</v>
      </c>
      <c r="AB281">
        <v>156.6</v>
      </c>
      <c r="AC281">
        <v>155.19999999999999</v>
      </c>
      <c r="AD281">
        <v>160.69999999999999</v>
      </c>
    </row>
    <row r="282" spans="1:30" x14ac:dyDescent="0.3">
      <c r="A282" t="s">
        <v>31</v>
      </c>
      <c r="B282">
        <v>2020</v>
      </c>
      <c r="C282" t="s">
        <v>44</v>
      </c>
      <c r="D282">
        <v>149</v>
      </c>
      <c r="E282">
        <v>195.7</v>
      </c>
      <c r="F282">
        <v>178.3</v>
      </c>
      <c r="G282">
        <v>154.19999999999999</v>
      </c>
      <c r="H282">
        <v>140.69999999999999</v>
      </c>
      <c r="I282">
        <v>149.69999999999999</v>
      </c>
      <c r="J282">
        <v>240.9</v>
      </c>
      <c r="K282">
        <v>161.5</v>
      </c>
      <c r="L282">
        <v>117.1</v>
      </c>
      <c r="M282">
        <v>161.9</v>
      </c>
      <c r="N282">
        <v>143.30000000000001</v>
      </c>
      <c r="O282">
        <v>166.1</v>
      </c>
      <c r="P282">
        <v>167</v>
      </c>
      <c r="Q282">
        <v>190.2</v>
      </c>
      <c r="R282">
        <v>151.9</v>
      </c>
      <c r="S282">
        <v>136.69999999999999</v>
      </c>
      <c r="T282">
        <v>149.6</v>
      </c>
      <c r="U282">
        <v>158.4</v>
      </c>
      <c r="V282">
        <v>137.9</v>
      </c>
      <c r="W282">
        <v>145.5</v>
      </c>
      <c r="X282">
        <v>152.9</v>
      </c>
      <c r="Y282">
        <v>135.5</v>
      </c>
      <c r="Z282">
        <v>144.30000000000001</v>
      </c>
      <c r="AA282">
        <v>156.9</v>
      </c>
      <c r="AB282">
        <v>157.9</v>
      </c>
      <c r="AC282">
        <v>146.9</v>
      </c>
      <c r="AD282">
        <v>156.9</v>
      </c>
    </row>
    <row r="283" spans="1:30" x14ac:dyDescent="0.3">
      <c r="A283" t="s">
        <v>32</v>
      </c>
      <c r="B283">
        <v>2020</v>
      </c>
      <c r="C283" t="s">
        <v>44</v>
      </c>
      <c r="D283">
        <v>146</v>
      </c>
      <c r="E283">
        <v>191</v>
      </c>
      <c r="F283">
        <v>175.3</v>
      </c>
      <c r="G283">
        <v>154.1</v>
      </c>
      <c r="H283">
        <v>146.6</v>
      </c>
      <c r="I283">
        <v>147.69999999999999</v>
      </c>
      <c r="J283">
        <v>230.5</v>
      </c>
      <c r="K283">
        <v>160.19999999999999</v>
      </c>
      <c r="L283">
        <v>115.3</v>
      </c>
      <c r="M283">
        <v>163</v>
      </c>
      <c r="N283">
        <v>149.19999999999999</v>
      </c>
      <c r="O283">
        <v>164.8</v>
      </c>
      <c r="P283">
        <v>165.4</v>
      </c>
      <c r="Q283">
        <v>185.4</v>
      </c>
      <c r="R283">
        <v>155</v>
      </c>
      <c r="S283">
        <v>145.4</v>
      </c>
      <c r="T283">
        <v>153.6</v>
      </c>
      <c r="U283">
        <v>158.4</v>
      </c>
      <c r="V283">
        <v>144.6</v>
      </c>
      <c r="W283">
        <v>149.69999999999999</v>
      </c>
      <c r="X283">
        <v>158.30000000000001</v>
      </c>
      <c r="Y283">
        <v>140.69999999999999</v>
      </c>
      <c r="Z283">
        <v>148.5</v>
      </c>
      <c r="AA283">
        <v>159.4</v>
      </c>
      <c r="AB283">
        <v>157.1</v>
      </c>
      <c r="AC283">
        <v>151.19999999999999</v>
      </c>
      <c r="AD283">
        <v>158.9</v>
      </c>
    </row>
    <row r="284" spans="1:30" x14ac:dyDescent="0.3">
      <c r="A284" t="s">
        <v>28</v>
      </c>
      <c r="B284">
        <v>2021</v>
      </c>
      <c r="C284" t="s">
        <v>29</v>
      </c>
      <c r="D284">
        <v>143.4</v>
      </c>
      <c r="E284">
        <v>187.5</v>
      </c>
      <c r="F284">
        <v>173.4</v>
      </c>
      <c r="G284">
        <v>154</v>
      </c>
      <c r="H284">
        <v>154.80000000000001</v>
      </c>
      <c r="I284">
        <v>147</v>
      </c>
      <c r="J284">
        <v>187.8</v>
      </c>
      <c r="K284">
        <v>159.5</v>
      </c>
      <c r="L284">
        <v>113.8</v>
      </c>
      <c r="M284">
        <v>164.5</v>
      </c>
      <c r="N284">
        <v>156.1</v>
      </c>
      <c r="O284">
        <v>164.3</v>
      </c>
      <c r="P284">
        <v>159.6</v>
      </c>
      <c r="Q284">
        <v>184.6</v>
      </c>
      <c r="R284">
        <v>157.5</v>
      </c>
      <c r="S284">
        <v>152.4</v>
      </c>
      <c r="T284">
        <v>156.80000000000001</v>
      </c>
      <c r="U284" t="s">
        <v>30</v>
      </c>
      <c r="V284">
        <v>150.9</v>
      </c>
      <c r="W284">
        <v>153.9</v>
      </c>
      <c r="X284">
        <v>162.5</v>
      </c>
      <c r="Y284">
        <v>147.5</v>
      </c>
      <c r="Z284">
        <v>155.1</v>
      </c>
      <c r="AA284">
        <v>163.5</v>
      </c>
      <c r="AB284">
        <v>156.19999999999999</v>
      </c>
      <c r="AC284">
        <v>155.9</v>
      </c>
      <c r="AD284">
        <v>158.5</v>
      </c>
    </row>
    <row r="285" spans="1:30" x14ac:dyDescent="0.3">
      <c r="A285" t="s">
        <v>31</v>
      </c>
      <c r="B285">
        <v>2021</v>
      </c>
      <c r="C285" t="s">
        <v>29</v>
      </c>
      <c r="D285">
        <v>148</v>
      </c>
      <c r="E285">
        <v>194.8</v>
      </c>
      <c r="F285">
        <v>178.4</v>
      </c>
      <c r="G285">
        <v>154.4</v>
      </c>
      <c r="H285">
        <v>144.1</v>
      </c>
      <c r="I285">
        <v>152.6</v>
      </c>
      <c r="J285">
        <v>206.8</v>
      </c>
      <c r="K285">
        <v>162.1</v>
      </c>
      <c r="L285">
        <v>116.3</v>
      </c>
      <c r="M285">
        <v>163</v>
      </c>
      <c r="N285">
        <v>145.9</v>
      </c>
      <c r="O285">
        <v>167.2</v>
      </c>
      <c r="P285">
        <v>163.4</v>
      </c>
      <c r="Q285">
        <v>191.8</v>
      </c>
      <c r="R285">
        <v>152.5</v>
      </c>
      <c r="S285">
        <v>137.30000000000001</v>
      </c>
      <c r="T285">
        <v>150.19999999999999</v>
      </c>
      <c r="U285">
        <v>157.69999999999999</v>
      </c>
      <c r="V285">
        <v>142.9</v>
      </c>
      <c r="W285">
        <v>145.69999999999999</v>
      </c>
      <c r="X285">
        <v>154.1</v>
      </c>
      <c r="Y285">
        <v>136.9</v>
      </c>
      <c r="Z285">
        <v>145.4</v>
      </c>
      <c r="AA285">
        <v>156.1</v>
      </c>
      <c r="AB285">
        <v>157.69999999999999</v>
      </c>
      <c r="AC285">
        <v>147.6</v>
      </c>
      <c r="AD285">
        <v>156</v>
      </c>
    </row>
    <row r="286" spans="1:30" x14ac:dyDescent="0.3">
      <c r="A286" t="s">
        <v>32</v>
      </c>
      <c r="B286">
        <v>2021</v>
      </c>
      <c r="C286" t="s">
        <v>29</v>
      </c>
      <c r="D286">
        <v>144.9</v>
      </c>
      <c r="E286">
        <v>190.1</v>
      </c>
      <c r="F286">
        <v>175.3</v>
      </c>
      <c r="G286">
        <v>154.1</v>
      </c>
      <c r="H286">
        <v>150.9</v>
      </c>
      <c r="I286">
        <v>149.6</v>
      </c>
      <c r="J286">
        <v>194.2</v>
      </c>
      <c r="K286">
        <v>160.4</v>
      </c>
      <c r="L286">
        <v>114.6</v>
      </c>
      <c r="M286">
        <v>164</v>
      </c>
      <c r="N286">
        <v>151.80000000000001</v>
      </c>
      <c r="O286">
        <v>165.6</v>
      </c>
      <c r="P286">
        <v>161</v>
      </c>
      <c r="Q286">
        <v>186.5</v>
      </c>
      <c r="R286">
        <v>155.5</v>
      </c>
      <c r="S286">
        <v>146.1</v>
      </c>
      <c r="T286">
        <v>154.19999999999999</v>
      </c>
      <c r="U286">
        <v>157.69999999999999</v>
      </c>
      <c r="V286">
        <v>147.9</v>
      </c>
      <c r="W286">
        <v>150</v>
      </c>
      <c r="X286">
        <v>159.30000000000001</v>
      </c>
      <c r="Y286">
        <v>141.9</v>
      </c>
      <c r="Z286">
        <v>149.6</v>
      </c>
      <c r="AA286">
        <v>159.19999999999999</v>
      </c>
      <c r="AB286">
        <v>156.80000000000001</v>
      </c>
      <c r="AC286">
        <v>151.9</v>
      </c>
      <c r="AD286">
        <v>157.30000000000001</v>
      </c>
    </row>
    <row r="287" spans="1:30" x14ac:dyDescent="0.3">
      <c r="A287" t="s">
        <v>28</v>
      </c>
      <c r="B287">
        <v>2021</v>
      </c>
      <c r="C287" t="s">
        <v>33</v>
      </c>
      <c r="D287">
        <v>142.80000000000001</v>
      </c>
      <c r="E287">
        <v>184</v>
      </c>
      <c r="F287">
        <v>168</v>
      </c>
      <c r="G287">
        <v>154.4</v>
      </c>
      <c r="H287">
        <v>163</v>
      </c>
      <c r="I287">
        <v>147.80000000000001</v>
      </c>
      <c r="J287">
        <v>149.69999999999999</v>
      </c>
      <c r="K287">
        <v>158.30000000000001</v>
      </c>
      <c r="L287">
        <v>111.8</v>
      </c>
      <c r="M287">
        <v>165</v>
      </c>
      <c r="N287">
        <v>160</v>
      </c>
      <c r="O287">
        <v>165.8</v>
      </c>
      <c r="P287">
        <v>154.69999999999999</v>
      </c>
      <c r="Q287">
        <v>186.5</v>
      </c>
      <c r="R287">
        <v>159.1</v>
      </c>
      <c r="S287">
        <v>153.9</v>
      </c>
      <c r="T287">
        <v>158.4</v>
      </c>
      <c r="U287" t="s">
        <v>30</v>
      </c>
      <c r="V287">
        <v>154.4</v>
      </c>
      <c r="W287">
        <v>154.80000000000001</v>
      </c>
      <c r="X287">
        <v>164.3</v>
      </c>
      <c r="Y287">
        <v>150.19999999999999</v>
      </c>
      <c r="Z287">
        <v>157</v>
      </c>
      <c r="AA287">
        <v>163.6</v>
      </c>
      <c r="AB287">
        <v>155.19999999999999</v>
      </c>
      <c r="AC287">
        <v>157.19999999999999</v>
      </c>
      <c r="AD287">
        <v>156.69999999999999</v>
      </c>
    </row>
    <row r="288" spans="1:30" x14ac:dyDescent="0.3">
      <c r="A288" t="s">
        <v>31</v>
      </c>
      <c r="B288">
        <v>2021</v>
      </c>
      <c r="C288" t="s">
        <v>33</v>
      </c>
      <c r="D288">
        <v>147.6</v>
      </c>
      <c r="E288">
        <v>191.2</v>
      </c>
      <c r="F288">
        <v>169.9</v>
      </c>
      <c r="G288">
        <v>155.1</v>
      </c>
      <c r="H288">
        <v>151.4</v>
      </c>
      <c r="I288">
        <v>154</v>
      </c>
      <c r="J288">
        <v>180.2</v>
      </c>
      <c r="K288">
        <v>159.80000000000001</v>
      </c>
      <c r="L288">
        <v>114.9</v>
      </c>
      <c r="M288">
        <v>162.5</v>
      </c>
      <c r="N288">
        <v>149.19999999999999</v>
      </c>
      <c r="O288">
        <v>169.4</v>
      </c>
      <c r="P288">
        <v>160.80000000000001</v>
      </c>
      <c r="Q288">
        <v>193.3</v>
      </c>
      <c r="R288">
        <v>154.19999999999999</v>
      </c>
      <c r="S288">
        <v>138.19999999999999</v>
      </c>
      <c r="T288">
        <v>151.80000000000001</v>
      </c>
      <c r="U288">
        <v>159.80000000000001</v>
      </c>
      <c r="V288">
        <v>149.1</v>
      </c>
      <c r="W288">
        <v>146.5</v>
      </c>
      <c r="X288">
        <v>156.30000000000001</v>
      </c>
      <c r="Y288">
        <v>140.5</v>
      </c>
      <c r="Z288">
        <v>147.30000000000001</v>
      </c>
      <c r="AA288">
        <v>156.6</v>
      </c>
      <c r="AB288">
        <v>156.69999999999999</v>
      </c>
      <c r="AC288">
        <v>149.30000000000001</v>
      </c>
      <c r="AD288">
        <v>156.5</v>
      </c>
    </row>
    <row r="289" spans="1:30" x14ac:dyDescent="0.3">
      <c r="A289" t="s">
        <v>32</v>
      </c>
      <c r="B289">
        <v>2021</v>
      </c>
      <c r="C289" t="s">
        <v>33</v>
      </c>
      <c r="D289">
        <v>144.30000000000001</v>
      </c>
      <c r="E289">
        <v>186.5</v>
      </c>
      <c r="F289">
        <v>168.7</v>
      </c>
      <c r="G289">
        <v>154.69999999999999</v>
      </c>
      <c r="H289">
        <v>158.69999999999999</v>
      </c>
      <c r="I289">
        <v>150.69999999999999</v>
      </c>
      <c r="J289">
        <v>160</v>
      </c>
      <c r="K289">
        <v>158.80000000000001</v>
      </c>
      <c r="L289">
        <v>112.8</v>
      </c>
      <c r="M289">
        <v>164.2</v>
      </c>
      <c r="N289">
        <v>155.5</v>
      </c>
      <c r="O289">
        <v>167.5</v>
      </c>
      <c r="P289">
        <v>156.9</v>
      </c>
      <c r="Q289">
        <v>188.3</v>
      </c>
      <c r="R289">
        <v>157.19999999999999</v>
      </c>
      <c r="S289">
        <v>147.4</v>
      </c>
      <c r="T289">
        <v>155.80000000000001</v>
      </c>
      <c r="U289">
        <v>159.80000000000001</v>
      </c>
      <c r="V289">
        <v>152.4</v>
      </c>
      <c r="W289">
        <v>150.9</v>
      </c>
      <c r="X289">
        <v>161.30000000000001</v>
      </c>
      <c r="Y289">
        <v>145.1</v>
      </c>
      <c r="Z289">
        <v>151.5</v>
      </c>
      <c r="AA289">
        <v>159.5</v>
      </c>
      <c r="AB289">
        <v>155.80000000000001</v>
      </c>
      <c r="AC289">
        <v>153.4</v>
      </c>
      <c r="AD289">
        <v>156.6</v>
      </c>
    </row>
    <row r="290" spans="1:30" x14ac:dyDescent="0.3">
      <c r="A290" t="s">
        <v>28</v>
      </c>
      <c r="B290">
        <v>2021</v>
      </c>
      <c r="C290" t="s">
        <v>34</v>
      </c>
      <c r="D290">
        <v>142.5</v>
      </c>
      <c r="E290">
        <v>189.4</v>
      </c>
      <c r="F290">
        <v>163.19999999999999</v>
      </c>
      <c r="G290">
        <v>154.5</v>
      </c>
      <c r="H290">
        <v>168.2</v>
      </c>
      <c r="I290">
        <v>150.5</v>
      </c>
      <c r="J290">
        <v>141</v>
      </c>
      <c r="K290">
        <v>159.19999999999999</v>
      </c>
      <c r="L290">
        <v>111.7</v>
      </c>
      <c r="M290">
        <v>164</v>
      </c>
      <c r="N290">
        <v>160.6</v>
      </c>
      <c r="O290">
        <v>166.4</v>
      </c>
      <c r="P290">
        <v>154.5</v>
      </c>
      <c r="Q290">
        <v>186.1</v>
      </c>
      <c r="R290">
        <v>159.6</v>
      </c>
      <c r="S290">
        <v>154.4</v>
      </c>
      <c r="T290">
        <v>158.9</v>
      </c>
      <c r="U290" t="s">
        <v>30</v>
      </c>
      <c r="V290">
        <v>156</v>
      </c>
      <c r="W290">
        <v>154.80000000000001</v>
      </c>
      <c r="X290">
        <v>164.6</v>
      </c>
      <c r="Y290">
        <v>151.30000000000001</v>
      </c>
      <c r="Z290">
        <v>157.80000000000001</v>
      </c>
      <c r="AA290">
        <v>163.80000000000001</v>
      </c>
      <c r="AB290">
        <v>153.1</v>
      </c>
      <c r="AC290">
        <v>157.30000000000001</v>
      </c>
      <c r="AD290">
        <v>156.69999999999999</v>
      </c>
    </row>
    <row r="291" spans="1:30" x14ac:dyDescent="0.3">
      <c r="A291" t="s">
        <v>31</v>
      </c>
      <c r="B291">
        <v>2021</v>
      </c>
      <c r="C291" t="s">
        <v>34</v>
      </c>
      <c r="D291">
        <v>147.5</v>
      </c>
      <c r="E291">
        <v>197.5</v>
      </c>
      <c r="F291">
        <v>164.7</v>
      </c>
      <c r="G291">
        <v>155.6</v>
      </c>
      <c r="H291">
        <v>156.4</v>
      </c>
      <c r="I291">
        <v>157.30000000000001</v>
      </c>
      <c r="J291">
        <v>166.1</v>
      </c>
      <c r="K291">
        <v>161.1</v>
      </c>
      <c r="L291">
        <v>114.3</v>
      </c>
      <c r="M291">
        <v>162.6</v>
      </c>
      <c r="N291">
        <v>150.69999999999999</v>
      </c>
      <c r="O291">
        <v>170.3</v>
      </c>
      <c r="P291">
        <v>160.4</v>
      </c>
      <c r="Q291">
        <v>193.5</v>
      </c>
      <c r="R291">
        <v>155.1</v>
      </c>
      <c r="S291">
        <v>138.69999999999999</v>
      </c>
      <c r="T291">
        <v>152.6</v>
      </c>
      <c r="U291">
        <v>159.9</v>
      </c>
      <c r="V291">
        <v>154.80000000000001</v>
      </c>
      <c r="W291">
        <v>147.19999999999999</v>
      </c>
      <c r="X291">
        <v>156.9</v>
      </c>
      <c r="Y291">
        <v>141.69999999999999</v>
      </c>
      <c r="Z291">
        <v>148.6</v>
      </c>
      <c r="AA291">
        <v>157.6</v>
      </c>
      <c r="AB291">
        <v>154.9</v>
      </c>
      <c r="AC291">
        <v>150</v>
      </c>
      <c r="AD291">
        <v>156.9</v>
      </c>
    </row>
    <row r="292" spans="1:30" x14ac:dyDescent="0.3">
      <c r="A292" t="s">
        <v>32</v>
      </c>
      <c r="B292">
        <v>2021</v>
      </c>
      <c r="C292" t="s">
        <v>34</v>
      </c>
      <c r="D292">
        <v>144.1</v>
      </c>
      <c r="E292">
        <v>192.2</v>
      </c>
      <c r="F292">
        <v>163.80000000000001</v>
      </c>
      <c r="G292">
        <v>154.9</v>
      </c>
      <c r="H292">
        <v>163.9</v>
      </c>
      <c r="I292">
        <v>153.69999999999999</v>
      </c>
      <c r="J292">
        <v>149.5</v>
      </c>
      <c r="K292">
        <v>159.80000000000001</v>
      </c>
      <c r="L292">
        <v>112.6</v>
      </c>
      <c r="M292">
        <v>163.5</v>
      </c>
      <c r="N292">
        <v>156.5</v>
      </c>
      <c r="O292">
        <v>168.2</v>
      </c>
      <c r="P292">
        <v>156.69999999999999</v>
      </c>
      <c r="Q292">
        <v>188.1</v>
      </c>
      <c r="R292">
        <v>157.80000000000001</v>
      </c>
      <c r="S292">
        <v>147.9</v>
      </c>
      <c r="T292">
        <v>156.4</v>
      </c>
      <c r="U292">
        <v>159.9</v>
      </c>
      <c r="V292">
        <v>155.5</v>
      </c>
      <c r="W292">
        <v>151.19999999999999</v>
      </c>
      <c r="X292">
        <v>161.69999999999999</v>
      </c>
      <c r="Y292">
        <v>146.19999999999999</v>
      </c>
      <c r="Z292">
        <v>152.6</v>
      </c>
      <c r="AA292">
        <v>160.19999999999999</v>
      </c>
      <c r="AB292">
        <v>153.80000000000001</v>
      </c>
      <c r="AC292">
        <v>153.80000000000001</v>
      </c>
      <c r="AD292">
        <v>156.80000000000001</v>
      </c>
    </row>
    <row r="293" spans="1:30" x14ac:dyDescent="0.3">
      <c r="A293" t="s">
        <v>28</v>
      </c>
      <c r="B293">
        <v>2021</v>
      </c>
      <c r="C293" t="s">
        <v>35</v>
      </c>
      <c r="D293">
        <v>142.69999999999999</v>
      </c>
      <c r="E293">
        <v>195.5</v>
      </c>
      <c r="F293">
        <v>163.4</v>
      </c>
      <c r="G293">
        <v>155</v>
      </c>
      <c r="H293">
        <v>175.2</v>
      </c>
      <c r="I293">
        <v>160.6</v>
      </c>
      <c r="J293">
        <v>135.1</v>
      </c>
      <c r="K293">
        <v>161.1</v>
      </c>
      <c r="L293">
        <v>112.2</v>
      </c>
      <c r="M293">
        <v>164.4</v>
      </c>
      <c r="N293">
        <v>161.9</v>
      </c>
      <c r="O293">
        <v>166.8</v>
      </c>
      <c r="P293">
        <v>155.6</v>
      </c>
      <c r="Q293">
        <v>186.8</v>
      </c>
      <c r="R293">
        <v>160.69999999999999</v>
      </c>
      <c r="S293">
        <v>155.1</v>
      </c>
      <c r="T293">
        <v>159.9</v>
      </c>
      <c r="U293" t="s">
        <v>30</v>
      </c>
      <c r="V293">
        <v>156</v>
      </c>
      <c r="W293">
        <v>155.5</v>
      </c>
      <c r="X293">
        <v>165.3</v>
      </c>
      <c r="Y293">
        <v>151.69999999999999</v>
      </c>
      <c r="Z293">
        <v>158.6</v>
      </c>
      <c r="AA293">
        <v>164.1</v>
      </c>
      <c r="AB293">
        <v>154.6</v>
      </c>
      <c r="AC293">
        <v>158</v>
      </c>
      <c r="AD293">
        <v>157.6</v>
      </c>
    </row>
    <row r="294" spans="1:30" x14ac:dyDescent="0.3">
      <c r="A294" t="s">
        <v>31</v>
      </c>
      <c r="B294">
        <v>2021</v>
      </c>
      <c r="C294" t="s">
        <v>35</v>
      </c>
      <c r="D294">
        <v>147.6</v>
      </c>
      <c r="E294">
        <v>202.5</v>
      </c>
      <c r="F294">
        <v>166.4</v>
      </c>
      <c r="G294">
        <v>156</v>
      </c>
      <c r="H294">
        <v>161.4</v>
      </c>
      <c r="I294">
        <v>168.8</v>
      </c>
      <c r="J294">
        <v>161.6</v>
      </c>
      <c r="K294">
        <v>162.80000000000001</v>
      </c>
      <c r="L294">
        <v>114.8</v>
      </c>
      <c r="M294">
        <v>162.80000000000001</v>
      </c>
      <c r="N294">
        <v>151.5</v>
      </c>
      <c r="O294">
        <v>171.4</v>
      </c>
      <c r="P294">
        <v>162</v>
      </c>
      <c r="Q294">
        <v>194.4</v>
      </c>
      <c r="R294">
        <v>155.9</v>
      </c>
      <c r="S294">
        <v>139.30000000000001</v>
      </c>
      <c r="T294">
        <v>153.4</v>
      </c>
      <c r="U294">
        <v>161.4</v>
      </c>
      <c r="V294">
        <v>154.9</v>
      </c>
      <c r="W294">
        <v>147.6</v>
      </c>
      <c r="X294">
        <v>157.5</v>
      </c>
      <c r="Y294">
        <v>142.1</v>
      </c>
      <c r="Z294">
        <v>149.1</v>
      </c>
      <c r="AA294">
        <v>157.6</v>
      </c>
      <c r="AB294">
        <v>156.6</v>
      </c>
      <c r="AC294">
        <v>150.5</v>
      </c>
      <c r="AD294">
        <v>158</v>
      </c>
    </row>
    <row r="295" spans="1:30" x14ac:dyDescent="0.3">
      <c r="A295" t="s">
        <v>32</v>
      </c>
      <c r="B295">
        <v>2021</v>
      </c>
      <c r="C295" t="s">
        <v>35</v>
      </c>
      <c r="D295">
        <v>144.30000000000001</v>
      </c>
      <c r="E295">
        <v>198</v>
      </c>
      <c r="F295">
        <v>164.6</v>
      </c>
      <c r="G295">
        <v>155.4</v>
      </c>
      <c r="H295">
        <v>170.1</v>
      </c>
      <c r="I295">
        <v>164.4</v>
      </c>
      <c r="J295">
        <v>144.1</v>
      </c>
      <c r="K295">
        <v>161.69999999999999</v>
      </c>
      <c r="L295">
        <v>113.1</v>
      </c>
      <c r="M295">
        <v>163.9</v>
      </c>
      <c r="N295">
        <v>157.6</v>
      </c>
      <c r="O295">
        <v>168.9</v>
      </c>
      <c r="P295">
        <v>158</v>
      </c>
      <c r="Q295">
        <v>188.8</v>
      </c>
      <c r="R295">
        <v>158.80000000000001</v>
      </c>
      <c r="S295">
        <v>148.5</v>
      </c>
      <c r="T295">
        <v>157.30000000000001</v>
      </c>
      <c r="U295">
        <v>161.4</v>
      </c>
      <c r="V295">
        <v>155.6</v>
      </c>
      <c r="W295">
        <v>151.80000000000001</v>
      </c>
      <c r="X295">
        <v>162.30000000000001</v>
      </c>
      <c r="Y295">
        <v>146.6</v>
      </c>
      <c r="Z295">
        <v>153.19999999999999</v>
      </c>
      <c r="AA295">
        <v>160.30000000000001</v>
      </c>
      <c r="AB295">
        <v>155.4</v>
      </c>
      <c r="AC295">
        <v>154.4</v>
      </c>
      <c r="AD295">
        <v>157.80000000000001</v>
      </c>
    </row>
    <row r="296" spans="1:30" x14ac:dyDescent="0.3">
      <c r="A296" t="s">
        <v>28</v>
      </c>
      <c r="B296">
        <v>2021</v>
      </c>
      <c r="C296" t="s">
        <v>36</v>
      </c>
      <c r="D296">
        <v>145.1</v>
      </c>
      <c r="E296">
        <v>198.5</v>
      </c>
      <c r="F296">
        <v>168.6</v>
      </c>
      <c r="G296">
        <v>155.80000000000001</v>
      </c>
      <c r="H296">
        <v>184.4</v>
      </c>
      <c r="I296">
        <v>162.30000000000001</v>
      </c>
      <c r="J296">
        <v>138.4</v>
      </c>
      <c r="K296">
        <v>165.1</v>
      </c>
      <c r="L296">
        <v>114.3</v>
      </c>
      <c r="M296">
        <v>169.7</v>
      </c>
      <c r="N296">
        <v>164.6</v>
      </c>
      <c r="O296">
        <v>169.8</v>
      </c>
      <c r="P296">
        <v>158.69999999999999</v>
      </c>
      <c r="Q296">
        <v>189.6</v>
      </c>
      <c r="R296">
        <v>165.3</v>
      </c>
      <c r="S296">
        <v>160.6</v>
      </c>
      <c r="T296">
        <v>164.5</v>
      </c>
      <c r="U296" t="s">
        <v>30</v>
      </c>
      <c r="V296">
        <v>161.69999999999999</v>
      </c>
      <c r="W296">
        <v>158.80000000000001</v>
      </c>
      <c r="X296">
        <v>169.1</v>
      </c>
      <c r="Y296">
        <v>153.19999999999999</v>
      </c>
      <c r="Z296">
        <v>160</v>
      </c>
      <c r="AA296">
        <v>167.6</v>
      </c>
      <c r="AB296">
        <v>159.30000000000001</v>
      </c>
      <c r="AC296">
        <v>161.1</v>
      </c>
      <c r="AD296">
        <v>161.1</v>
      </c>
    </row>
    <row r="297" spans="1:30" x14ac:dyDescent="0.3">
      <c r="A297" t="s">
        <v>31</v>
      </c>
      <c r="B297">
        <v>2021</v>
      </c>
      <c r="C297" t="s">
        <v>36</v>
      </c>
      <c r="D297">
        <v>148.80000000000001</v>
      </c>
      <c r="E297">
        <v>204.3</v>
      </c>
      <c r="F297">
        <v>173</v>
      </c>
      <c r="G297">
        <v>156.5</v>
      </c>
      <c r="H297">
        <v>168.8</v>
      </c>
      <c r="I297">
        <v>172.5</v>
      </c>
      <c r="J297">
        <v>166.5</v>
      </c>
      <c r="K297">
        <v>165.9</v>
      </c>
      <c r="L297">
        <v>115.9</v>
      </c>
      <c r="M297">
        <v>165.2</v>
      </c>
      <c r="N297">
        <v>152</v>
      </c>
      <c r="O297">
        <v>171.1</v>
      </c>
      <c r="P297">
        <v>164.2</v>
      </c>
      <c r="Q297">
        <v>198.2</v>
      </c>
      <c r="R297">
        <v>156.5</v>
      </c>
      <c r="S297">
        <v>140.19999999999999</v>
      </c>
      <c r="T297">
        <v>154.1</v>
      </c>
      <c r="U297">
        <v>161.6</v>
      </c>
      <c r="V297">
        <v>155.5</v>
      </c>
      <c r="W297">
        <v>150.1</v>
      </c>
      <c r="X297">
        <v>160.4</v>
      </c>
      <c r="Y297">
        <v>145</v>
      </c>
      <c r="Z297">
        <v>152.6</v>
      </c>
      <c r="AA297">
        <v>156.6</v>
      </c>
      <c r="AB297">
        <v>157.5</v>
      </c>
      <c r="AC297">
        <v>152.30000000000001</v>
      </c>
      <c r="AD297">
        <v>159.5</v>
      </c>
    </row>
    <row r="298" spans="1:30" x14ac:dyDescent="0.3">
      <c r="A298" t="s">
        <v>32</v>
      </c>
      <c r="B298">
        <v>2021</v>
      </c>
      <c r="C298" t="s">
        <v>36</v>
      </c>
      <c r="D298">
        <v>146.30000000000001</v>
      </c>
      <c r="E298">
        <v>200.5</v>
      </c>
      <c r="F298">
        <v>170.3</v>
      </c>
      <c r="G298">
        <v>156.1</v>
      </c>
      <c r="H298">
        <v>178.7</v>
      </c>
      <c r="I298">
        <v>167.1</v>
      </c>
      <c r="J298">
        <v>147.9</v>
      </c>
      <c r="K298">
        <v>165.4</v>
      </c>
      <c r="L298">
        <v>114.8</v>
      </c>
      <c r="M298">
        <v>168.2</v>
      </c>
      <c r="N298">
        <v>159.30000000000001</v>
      </c>
      <c r="O298">
        <v>170.4</v>
      </c>
      <c r="P298">
        <v>160.69999999999999</v>
      </c>
      <c r="Q298">
        <v>191.9</v>
      </c>
      <c r="R298">
        <v>161.80000000000001</v>
      </c>
      <c r="S298">
        <v>152.1</v>
      </c>
      <c r="T298">
        <v>160.4</v>
      </c>
      <c r="U298">
        <v>161.6</v>
      </c>
      <c r="V298">
        <v>159.4</v>
      </c>
      <c r="W298">
        <v>154.69999999999999</v>
      </c>
      <c r="X298">
        <v>165.8</v>
      </c>
      <c r="Y298">
        <v>148.9</v>
      </c>
      <c r="Z298">
        <v>155.80000000000001</v>
      </c>
      <c r="AA298">
        <v>161.19999999999999</v>
      </c>
      <c r="AB298">
        <v>158.6</v>
      </c>
      <c r="AC298">
        <v>156.80000000000001</v>
      </c>
      <c r="AD298">
        <v>160.4</v>
      </c>
    </row>
    <row r="299" spans="1:30" x14ac:dyDescent="0.3">
      <c r="A299" t="s">
        <v>28</v>
      </c>
      <c r="B299">
        <v>2021</v>
      </c>
      <c r="C299" t="s">
        <v>37</v>
      </c>
      <c r="D299">
        <v>145.6</v>
      </c>
      <c r="E299">
        <v>200.1</v>
      </c>
      <c r="F299">
        <v>179.3</v>
      </c>
      <c r="G299">
        <v>156.1</v>
      </c>
      <c r="H299">
        <v>190.4</v>
      </c>
      <c r="I299">
        <v>158.6</v>
      </c>
      <c r="J299">
        <v>144.69999999999999</v>
      </c>
      <c r="K299">
        <v>165.5</v>
      </c>
      <c r="L299">
        <v>114.6</v>
      </c>
      <c r="M299">
        <v>170</v>
      </c>
      <c r="N299">
        <v>165.5</v>
      </c>
      <c r="O299">
        <v>171.7</v>
      </c>
      <c r="P299">
        <v>160.5</v>
      </c>
      <c r="Q299">
        <v>189.1</v>
      </c>
      <c r="R299">
        <v>165.3</v>
      </c>
      <c r="S299">
        <v>159.9</v>
      </c>
      <c r="T299">
        <v>164.6</v>
      </c>
      <c r="U299" t="s">
        <v>30</v>
      </c>
      <c r="V299">
        <v>162.1</v>
      </c>
      <c r="W299">
        <v>159.19999999999999</v>
      </c>
      <c r="X299">
        <v>169.7</v>
      </c>
      <c r="Y299">
        <v>154.19999999999999</v>
      </c>
      <c r="Z299">
        <v>160.4</v>
      </c>
      <c r="AA299">
        <v>166.8</v>
      </c>
      <c r="AB299">
        <v>159.4</v>
      </c>
      <c r="AC299">
        <v>161.5</v>
      </c>
      <c r="AD299">
        <v>162.1</v>
      </c>
    </row>
    <row r="300" spans="1:30" x14ac:dyDescent="0.3">
      <c r="A300" t="s">
        <v>31</v>
      </c>
      <c r="B300">
        <v>2021</v>
      </c>
      <c r="C300" t="s">
        <v>37</v>
      </c>
      <c r="D300">
        <v>149.19999999999999</v>
      </c>
      <c r="E300">
        <v>205.5</v>
      </c>
      <c r="F300">
        <v>182.8</v>
      </c>
      <c r="G300">
        <v>156.5</v>
      </c>
      <c r="H300">
        <v>172.2</v>
      </c>
      <c r="I300">
        <v>171.5</v>
      </c>
      <c r="J300">
        <v>176.2</v>
      </c>
      <c r="K300">
        <v>166.9</v>
      </c>
      <c r="L300">
        <v>116.1</v>
      </c>
      <c r="M300">
        <v>165.5</v>
      </c>
      <c r="N300">
        <v>152.30000000000001</v>
      </c>
      <c r="O300">
        <v>173.3</v>
      </c>
      <c r="P300">
        <v>166.2</v>
      </c>
      <c r="Q300">
        <v>195.6</v>
      </c>
      <c r="R300">
        <v>157.30000000000001</v>
      </c>
      <c r="S300">
        <v>140.5</v>
      </c>
      <c r="T300">
        <v>154.80000000000001</v>
      </c>
      <c r="U300">
        <v>160.5</v>
      </c>
      <c r="V300">
        <v>156.1</v>
      </c>
      <c r="W300">
        <v>149.80000000000001</v>
      </c>
      <c r="X300">
        <v>160.80000000000001</v>
      </c>
      <c r="Y300">
        <v>147.5</v>
      </c>
      <c r="Z300">
        <v>150.69999999999999</v>
      </c>
      <c r="AA300">
        <v>158.1</v>
      </c>
      <c r="AB300">
        <v>158</v>
      </c>
      <c r="AC300">
        <v>153.4</v>
      </c>
      <c r="AD300">
        <v>160.4</v>
      </c>
    </row>
    <row r="301" spans="1:30" x14ac:dyDescent="0.3">
      <c r="A301" t="s">
        <v>32</v>
      </c>
      <c r="B301">
        <v>2021</v>
      </c>
      <c r="C301" t="s">
        <v>37</v>
      </c>
      <c r="D301">
        <v>146.69999999999999</v>
      </c>
      <c r="E301">
        <v>202</v>
      </c>
      <c r="F301">
        <v>180.7</v>
      </c>
      <c r="G301">
        <v>156.19999999999999</v>
      </c>
      <c r="H301">
        <v>183.7</v>
      </c>
      <c r="I301">
        <v>164.6</v>
      </c>
      <c r="J301">
        <v>155.4</v>
      </c>
      <c r="K301">
        <v>166</v>
      </c>
      <c r="L301">
        <v>115.1</v>
      </c>
      <c r="M301">
        <v>168.5</v>
      </c>
      <c r="N301">
        <v>160</v>
      </c>
      <c r="O301">
        <v>172.4</v>
      </c>
      <c r="P301">
        <v>162.6</v>
      </c>
      <c r="Q301">
        <v>190.8</v>
      </c>
      <c r="R301">
        <v>162.19999999999999</v>
      </c>
      <c r="S301">
        <v>151.80000000000001</v>
      </c>
      <c r="T301">
        <v>160.69999999999999</v>
      </c>
      <c r="U301">
        <v>160.5</v>
      </c>
      <c r="V301">
        <v>159.80000000000001</v>
      </c>
      <c r="W301">
        <v>154.80000000000001</v>
      </c>
      <c r="X301">
        <v>166.3</v>
      </c>
      <c r="Y301">
        <v>150.69999999999999</v>
      </c>
      <c r="Z301">
        <v>154.9</v>
      </c>
      <c r="AA301">
        <v>161.69999999999999</v>
      </c>
      <c r="AB301">
        <v>158.80000000000001</v>
      </c>
      <c r="AC301">
        <v>157.6</v>
      </c>
      <c r="AD301">
        <v>161.30000000000001</v>
      </c>
    </row>
    <row r="302" spans="1:30" x14ac:dyDescent="0.3">
      <c r="A302" t="s">
        <v>28</v>
      </c>
      <c r="B302">
        <v>2021</v>
      </c>
      <c r="C302" t="s">
        <v>38</v>
      </c>
      <c r="D302">
        <v>145.1</v>
      </c>
      <c r="E302">
        <v>204.5</v>
      </c>
      <c r="F302">
        <v>180.4</v>
      </c>
      <c r="G302">
        <v>157.1</v>
      </c>
      <c r="H302">
        <v>188.7</v>
      </c>
      <c r="I302">
        <v>157.69999999999999</v>
      </c>
      <c r="J302">
        <v>152.80000000000001</v>
      </c>
      <c r="K302">
        <v>163.6</v>
      </c>
      <c r="L302">
        <v>113.9</v>
      </c>
      <c r="M302">
        <v>169.7</v>
      </c>
      <c r="N302">
        <v>166.2</v>
      </c>
      <c r="O302">
        <v>171</v>
      </c>
      <c r="P302">
        <v>161.69999999999999</v>
      </c>
      <c r="Q302">
        <v>189.7</v>
      </c>
      <c r="R302">
        <v>166</v>
      </c>
      <c r="S302">
        <v>161.1</v>
      </c>
      <c r="T302">
        <v>165.3</v>
      </c>
      <c r="U302" t="s">
        <v>30</v>
      </c>
      <c r="V302">
        <v>162.5</v>
      </c>
      <c r="W302">
        <v>160.30000000000001</v>
      </c>
      <c r="X302">
        <v>170.4</v>
      </c>
      <c r="Y302">
        <v>157.1</v>
      </c>
      <c r="Z302">
        <v>160.69999999999999</v>
      </c>
      <c r="AA302">
        <v>167.2</v>
      </c>
      <c r="AB302">
        <v>160.4</v>
      </c>
      <c r="AC302">
        <v>162.80000000000001</v>
      </c>
      <c r="AD302">
        <v>163.19999999999999</v>
      </c>
    </row>
    <row r="303" spans="1:30" x14ac:dyDescent="0.3">
      <c r="A303" t="s">
        <v>31</v>
      </c>
      <c r="B303">
        <v>2021</v>
      </c>
      <c r="C303" t="s">
        <v>38</v>
      </c>
      <c r="D303">
        <v>149.1</v>
      </c>
      <c r="E303">
        <v>210.9</v>
      </c>
      <c r="F303">
        <v>185</v>
      </c>
      <c r="G303">
        <v>158.19999999999999</v>
      </c>
      <c r="H303">
        <v>170.6</v>
      </c>
      <c r="I303">
        <v>170.9</v>
      </c>
      <c r="J303">
        <v>186.4</v>
      </c>
      <c r="K303">
        <v>164.7</v>
      </c>
      <c r="L303">
        <v>115.7</v>
      </c>
      <c r="M303">
        <v>165.5</v>
      </c>
      <c r="N303">
        <v>153.4</v>
      </c>
      <c r="O303">
        <v>173.5</v>
      </c>
      <c r="P303">
        <v>167.9</v>
      </c>
      <c r="Q303">
        <v>195.5</v>
      </c>
      <c r="R303">
        <v>157.9</v>
      </c>
      <c r="S303">
        <v>141.9</v>
      </c>
      <c r="T303">
        <v>155.5</v>
      </c>
      <c r="U303">
        <v>161.5</v>
      </c>
      <c r="V303">
        <v>157.69999999999999</v>
      </c>
      <c r="W303">
        <v>150.69999999999999</v>
      </c>
      <c r="X303">
        <v>161.5</v>
      </c>
      <c r="Y303">
        <v>149.5</v>
      </c>
      <c r="Z303">
        <v>151.19999999999999</v>
      </c>
      <c r="AA303">
        <v>160.30000000000001</v>
      </c>
      <c r="AB303">
        <v>159.6</v>
      </c>
      <c r="AC303">
        <v>155</v>
      </c>
      <c r="AD303">
        <v>161.80000000000001</v>
      </c>
    </row>
    <row r="304" spans="1:30" x14ac:dyDescent="0.3">
      <c r="A304" t="s">
        <v>32</v>
      </c>
      <c r="B304">
        <v>2021</v>
      </c>
      <c r="C304" t="s">
        <v>38</v>
      </c>
      <c r="D304">
        <v>146.4</v>
      </c>
      <c r="E304">
        <v>206.8</v>
      </c>
      <c r="F304">
        <v>182.2</v>
      </c>
      <c r="G304">
        <v>157.5</v>
      </c>
      <c r="H304">
        <v>182.1</v>
      </c>
      <c r="I304">
        <v>163.9</v>
      </c>
      <c r="J304">
        <v>164.2</v>
      </c>
      <c r="K304">
        <v>164</v>
      </c>
      <c r="L304">
        <v>114.5</v>
      </c>
      <c r="M304">
        <v>168.3</v>
      </c>
      <c r="N304">
        <v>160.9</v>
      </c>
      <c r="O304">
        <v>172.2</v>
      </c>
      <c r="P304">
        <v>164</v>
      </c>
      <c r="Q304">
        <v>191.2</v>
      </c>
      <c r="R304">
        <v>162.80000000000001</v>
      </c>
      <c r="S304">
        <v>153.1</v>
      </c>
      <c r="T304">
        <v>161.4</v>
      </c>
      <c r="U304">
        <v>161.5</v>
      </c>
      <c r="V304">
        <v>160.69999999999999</v>
      </c>
      <c r="W304">
        <v>155.80000000000001</v>
      </c>
      <c r="X304">
        <v>167</v>
      </c>
      <c r="Y304">
        <v>153.1</v>
      </c>
      <c r="Z304">
        <v>155.30000000000001</v>
      </c>
      <c r="AA304">
        <v>163.19999999999999</v>
      </c>
      <c r="AB304">
        <v>160.1</v>
      </c>
      <c r="AC304">
        <v>159</v>
      </c>
      <c r="AD304">
        <v>162.5</v>
      </c>
    </row>
    <row r="305" spans="1:30" x14ac:dyDescent="0.3">
      <c r="A305" t="s">
        <v>28</v>
      </c>
      <c r="B305">
        <v>2021</v>
      </c>
      <c r="C305" t="s">
        <v>39</v>
      </c>
      <c r="D305">
        <v>144.9</v>
      </c>
      <c r="E305">
        <v>202.3</v>
      </c>
      <c r="F305">
        <v>176.5</v>
      </c>
      <c r="G305">
        <v>157.5</v>
      </c>
      <c r="H305">
        <v>190.9</v>
      </c>
      <c r="I305">
        <v>155.69999999999999</v>
      </c>
      <c r="J305">
        <v>153.9</v>
      </c>
      <c r="K305">
        <v>162.80000000000001</v>
      </c>
      <c r="L305">
        <v>115.2</v>
      </c>
      <c r="M305">
        <v>169.8</v>
      </c>
      <c r="N305">
        <v>167.6</v>
      </c>
      <c r="O305">
        <v>171.9</v>
      </c>
      <c r="P305">
        <v>161.80000000000001</v>
      </c>
      <c r="Q305">
        <v>190.2</v>
      </c>
      <c r="R305">
        <v>167</v>
      </c>
      <c r="S305">
        <v>162.6</v>
      </c>
      <c r="T305">
        <v>166.3</v>
      </c>
      <c r="U305" t="s">
        <v>30</v>
      </c>
      <c r="V305">
        <v>163.1</v>
      </c>
      <c r="W305">
        <v>160.9</v>
      </c>
      <c r="X305">
        <v>171.1</v>
      </c>
      <c r="Y305">
        <v>157.69999999999999</v>
      </c>
      <c r="Z305">
        <v>161.1</v>
      </c>
      <c r="AA305">
        <v>167.5</v>
      </c>
      <c r="AB305">
        <v>160.30000000000001</v>
      </c>
      <c r="AC305">
        <v>163.30000000000001</v>
      </c>
      <c r="AD305">
        <v>163.6</v>
      </c>
    </row>
    <row r="306" spans="1:30" x14ac:dyDescent="0.3">
      <c r="A306" t="s">
        <v>31</v>
      </c>
      <c r="B306">
        <v>2021</v>
      </c>
      <c r="C306" t="s">
        <v>39</v>
      </c>
      <c r="D306">
        <v>149.30000000000001</v>
      </c>
      <c r="E306">
        <v>207.4</v>
      </c>
      <c r="F306">
        <v>174.1</v>
      </c>
      <c r="G306">
        <v>159.19999999999999</v>
      </c>
      <c r="H306">
        <v>175</v>
      </c>
      <c r="I306">
        <v>161.30000000000001</v>
      </c>
      <c r="J306">
        <v>183.3</v>
      </c>
      <c r="K306">
        <v>164.5</v>
      </c>
      <c r="L306">
        <v>120.4</v>
      </c>
      <c r="M306">
        <v>166.2</v>
      </c>
      <c r="N306">
        <v>154.80000000000001</v>
      </c>
      <c r="O306">
        <v>175.1</v>
      </c>
      <c r="P306">
        <v>167.3</v>
      </c>
      <c r="Q306">
        <v>196.5</v>
      </c>
      <c r="R306">
        <v>159.80000000000001</v>
      </c>
      <c r="S306">
        <v>143.6</v>
      </c>
      <c r="T306">
        <v>157.30000000000001</v>
      </c>
      <c r="U306">
        <v>162.1</v>
      </c>
      <c r="V306">
        <v>160.69999999999999</v>
      </c>
      <c r="W306">
        <v>153.19999999999999</v>
      </c>
      <c r="X306">
        <v>162.80000000000001</v>
      </c>
      <c r="Y306">
        <v>150.4</v>
      </c>
      <c r="Z306">
        <v>153.69999999999999</v>
      </c>
      <c r="AA306">
        <v>160.4</v>
      </c>
      <c r="AB306">
        <v>159.6</v>
      </c>
      <c r="AC306">
        <v>156</v>
      </c>
      <c r="AD306">
        <v>162.30000000000001</v>
      </c>
    </row>
    <row r="307" spans="1:30" x14ac:dyDescent="0.3">
      <c r="A307" t="s">
        <v>32</v>
      </c>
      <c r="B307">
        <v>2021</v>
      </c>
      <c r="C307" t="s">
        <v>39</v>
      </c>
      <c r="D307">
        <v>146.6</v>
      </c>
      <c r="E307">
        <v>204</v>
      </c>
      <c r="F307">
        <v>172.8</v>
      </c>
      <c r="G307">
        <v>158.4</v>
      </c>
      <c r="H307">
        <v>188</v>
      </c>
      <c r="I307">
        <v>156.80000000000001</v>
      </c>
      <c r="J307">
        <v>162.19999999999999</v>
      </c>
      <c r="K307">
        <v>164.1</v>
      </c>
      <c r="L307">
        <v>119.7</v>
      </c>
      <c r="M307">
        <v>168.8</v>
      </c>
      <c r="N307">
        <v>162.69999999999999</v>
      </c>
      <c r="O307">
        <v>173.9</v>
      </c>
      <c r="P307">
        <v>164</v>
      </c>
      <c r="Q307">
        <v>192.1</v>
      </c>
      <c r="R307">
        <v>164.5</v>
      </c>
      <c r="S307">
        <v>155.30000000000001</v>
      </c>
      <c r="T307">
        <v>163.19999999999999</v>
      </c>
      <c r="U307">
        <v>162.1</v>
      </c>
      <c r="V307">
        <v>162.6</v>
      </c>
      <c r="W307">
        <v>157.5</v>
      </c>
      <c r="X307">
        <v>168.4</v>
      </c>
      <c r="Y307">
        <v>154</v>
      </c>
      <c r="Z307">
        <v>157.6</v>
      </c>
      <c r="AA307">
        <v>163.80000000000001</v>
      </c>
      <c r="AB307">
        <v>160</v>
      </c>
      <c r="AC307">
        <v>160</v>
      </c>
      <c r="AD307">
        <v>163.19999999999999</v>
      </c>
    </row>
    <row r="308" spans="1:30" x14ac:dyDescent="0.3">
      <c r="A308" t="s">
        <v>28</v>
      </c>
      <c r="B308">
        <v>2021</v>
      </c>
      <c r="C308" t="s">
        <v>40</v>
      </c>
      <c r="D308">
        <v>145.4</v>
      </c>
      <c r="E308">
        <v>202.1</v>
      </c>
      <c r="F308">
        <v>172</v>
      </c>
      <c r="G308">
        <v>158</v>
      </c>
      <c r="H308">
        <v>195.5</v>
      </c>
      <c r="I308">
        <v>152.69999999999999</v>
      </c>
      <c r="J308">
        <v>151.4</v>
      </c>
      <c r="K308">
        <v>163.9</v>
      </c>
      <c r="L308">
        <v>119.3</v>
      </c>
      <c r="M308">
        <v>170.1</v>
      </c>
      <c r="N308">
        <v>168.3</v>
      </c>
      <c r="O308">
        <v>172.8</v>
      </c>
      <c r="P308">
        <v>162.1</v>
      </c>
      <c r="Q308">
        <v>190.5</v>
      </c>
      <c r="R308">
        <v>167.7</v>
      </c>
      <c r="S308">
        <v>163.6</v>
      </c>
      <c r="T308">
        <v>167.1</v>
      </c>
      <c r="U308" t="s">
        <v>30</v>
      </c>
      <c r="V308">
        <v>163.69999999999999</v>
      </c>
      <c r="W308">
        <v>161.30000000000001</v>
      </c>
      <c r="X308">
        <v>171.9</v>
      </c>
      <c r="Y308">
        <v>157.80000000000001</v>
      </c>
      <c r="Z308">
        <v>162.69999999999999</v>
      </c>
      <c r="AA308">
        <v>168.5</v>
      </c>
      <c r="AB308">
        <v>160.19999999999999</v>
      </c>
      <c r="AC308">
        <v>163.80000000000001</v>
      </c>
      <c r="AD308">
        <v>164</v>
      </c>
    </row>
    <row r="309" spans="1:30" x14ac:dyDescent="0.3">
      <c r="A309" t="s">
        <v>31</v>
      </c>
      <c r="B309">
        <v>2021</v>
      </c>
      <c r="C309" t="s">
        <v>40</v>
      </c>
      <c r="D309">
        <v>149.30000000000001</v>
      </c>
      <c r="E309">
        <v>207.4</v>
      </c>
      <c r="F309">
        <v>174.1</v>
      </c>
      <c r="G309">
        <v>159.1</v>
      </c>
      <c r="H309">
        <v>175</v>
      </c>
      <c r="I309">
        <v>161.19999999999999</v>
      </c>
      <c r="J309">
        <v>183.5</v>
      </c>
      <c r="K309">
        <v>164.5</v>
      </c>
      <c r="L309">
        <v>120.4</v>
      </c>
      <c r="M309">
        <v>166.2</v>
      </c>
      <c r="N309">
        <v>154.80000000000001</v>
      </c>
      <c r="O309">
        <v>175.1</v>
      </c>
      <c r="P309">
        <v>167.3</v>
      </c>
      <c r="Q309">
        <v>196.5</v>
      </c>
      <c r="R309">
        <v>159.80000000000001</v>
      </c>
      <c r="S309">
        <v>143.6</v>
      </c>
      <c r="T309">
        <v>157.4</v>
      </c>
      <c r="U309">
        <v>162.1</v>
      </c>
      <c r="V309">
        <v>160.80000000000001</v>
      </c>
      <c r="W309">
        <v>153.30000000000001</v>
      </c>
      <c r="X309">
        <v>162.80000000000001</v>
      </c>
      <c r="Y309">
        <v>150.5</v>
      </c>
      <c r="Z309">
        <v>153.9</v>
      </c>
      <c r="AA309">
        <v>160.30000000000001</v>
      </c>
      <c r="AB309">
        <v>159.6</v>
      </c>
      <c r="AC309">
        <v>156</v>
      </c>
      <c r="AD309">
        <v>162.30000000000001</v>
      </c>
    </row>
    <row r="310" spans="1:30" x14ac:dyDescent="0.3">
      <c r="A310" t="s">
        <v>32</v>
      </c>
      <c r="B310">
        <v>2021</v>
      </c>
      <c r="C310" t="s">
        <v>40</v>
      </c>
      <c r="D310">
        <v>146.6</v>
      </c>
      <c r="E310">
        <v>204</v>
      </c>
      <c r="F310">
        <v>172.8</v>
      </c>
      <c r="G310">
        <v>158.4</v>
      </c>
      <c r="H310">
        <v>188</v>
      </c>
      <c r="I310">
        <v>156.69999999999999</v>
      </c>
      <c r="J310">
        <v>162.30000000000001</v>
      </c>
      <c r="K310">
        <v>164.1</v>
      </c>
      <c r="L310">
        <v>119.7</v>
      </c>
      <c r="M310">
        <v>168.8</v>
      </c>
      <c r="N310">
        <v>162.69999999999999</v>
      </c>
      <c r="O310">
        <v>173.9</v>
      </c>
      <c r="P310">
        <v>164</v>
      </c>
      <c r="Q310">
        <v>192.1</v>
      </c>
      <c r="R310">
        <v>164.6</v>
      </c>
      <c r="S310">
        <v>155.30000000000001</v>
      </c>
      <c r="T310">
        <v>163.30000000000001</v>
      </c>
      <c r="U310">
        <v>162.1</v>
      </c>
      <c r="V310">
        <v>162.6</v>
      </c>
      <c r="W310">
        <v>157.5</v>
      </c>
      <c r="X310">
        <v>168.4</v>
      </c>
      <c r="Y310">
        <v>154</v>
      </c>
      <c r="Z310">
        <v>157.69999999999999</v>
      </c>
      <c r="AA310">
        <v>163.69999999999999</v>
      </c>
      <c r="AB310">
        <v>160</v>
      </c>
      <c r="AC310">
        <v>160</v>
      </c>
      <c r="AD310">
        <v>163.19999999999999</v>
      </c>
    </row>
    <row r="311" spans="1:30" x14ac:dyDescent="0.3">
      <c r="A311" t="s">
        <v>28</v>
      </c>
      <c r="B311">
        <v>2021</v>
      </c>
      <c r="C311" t="s">
        <v>41</v>
      </c>
      <c r="D311">
        <v>146.1</v>
      </c>
      <c r="E311">
        <v>202.5</v>
      </c>
      <c r="F311">
        <v>170.1</v>
      </c>
      <c r="G311">
        <v>158.4</v>
      </c>
      <c r="H311">
        <v>198.8</v>
      </c>
      <c r="I311">
        <v>152.6</v>
      </c>
      <c r="J311">
        <v>170.4</v>
      </c>
      <c r="K311">
        <v>165.2</v>
      </c>
      <c r="L311">
        <v>121.6</v>
      </c>
      <c r="M311">
        <v>170.6</v>
      </c>
      <c r="N311">
        <v>168.8</v>
      </c>
      <c r="O311">
        <v>173.6</v>
      </c>
      <c r="P311">
        <v>165.5</v>
      </c>
      <c r="Q311">
        <v>191.2</v>
      </c>
      <c r="R311">
        <v>168.9</v>
      </c>
      <c r="S311">
        <v>164.8</v>
      </c>
      <c r="T311">
        <v>168.3</v>
      </c>
      <c r="U311" t="s">
        <v>30</v>
      </c>
      <c r="V311">
        <v>165.5</v>
      </c>
      <c r="W311">
        <v>162</v>
      </c>
      <c r="X311">
        <v>172.5</v>
      </c>
      <c r="Y311">
        <v>159.5</v>
      </c>
      <c r="Z311">
        <v>163.19999999999999</v>
      </c>
      <c r="AA311">
        <v>169</v>
      </c>
      <c r="AB311">
        <v>161.1</v>
      </c>
      <c r="AC311">
        <v>164.7</v>
      </c>
      <c r="AD311">
        <v>166.3</v>
      </c>
    </row>
    <row r="312" spans="1:30" x14ac:dyDescent="0.3">
      <c r="A312" t="s">
        <v>31</v>
      </c>
      <c r="B312">
        <v>2021</v>
      </c>
      <c r="C312" t="s">
        <v>41</v>
      </c>
      <c r="D312">
        <v>150.1</v>
      </c>
      <c r="E312">
        <v>208.4</v>
      </c>
      <c r="F312">
        <v>173</v>
      </c>
      <c r="G312">
        <v>159.19999999999999</v>
      </c>
      <c r="H312">
        <v>176.6</v>
      </c>
      <c r="I312">
        <v>159.30000000000001</v>
      </c>
      <c r="J312">
        <v>214.4</v>
      </c>
      <c r="K312">
        <v>165.3</v>
      </c>
      <c r="L312">
        <v>122.5</v>
      </c>
      <c r="M312">
        <v>166.8</v>
      </c>
      <c r="N312">
        <v>155.4</v>
      </c>
      <c r="O312">
        <v>175.9</v>
      </c>
      <c r="P312">
        <v>171.5</v>
      </c>
      <c r="Q312">
        <v>197</v>
      </c>
      <c r="R312">
        <v>160.80000000000001</v>
      </c>
      <c r="S312">
        <v>144.4</v>
      </c>
      <c r="T312">
        <v>158.30000000000001</v>
      </c>
      <c r="U312">
        <v>163.6</v>
      </c>
      <c r="V312">
        <v>162.19999999999999</v>
      </c>
      <c r="W312">
        <v>154.30000000000001</v>
      </c>
      <c r="X312">
        <v>163.5</v>
      </c>
      <c r="Y312">
        <v>152.19999999999999</v>
      </c>
      <c r="Z312">
        <v>155.1</v>
      </c>
      <c r="AA312">
        <v>160.30000000000001</v>
      </c>
      <c r="AB312">
        <v>160.30000000000001</v>
      </c>
      <c r="AC312">
        <v>157</v>
      </c>
      <c r="AD312">
        <v>164.6</v>
      </c>
    </row>
    <row r="313" spans="1:30" x14ac:dyDescent="0.3">
      <c r="A313" t="s">
        <v>32</v>
      </c>
      <c r="B313">
        <v>2021</v>
      </c>
      <c r="C313" t="s">
        <v>41</v>
      </c>
      <c r="D313">
        <v>147.4</v>
      </c>
      <c r="E313">
        <v>204.6</v>
      </c>
      <c r="F313">
        <v>171.2</v>
      </c>
      <c r="G313">
        <v>158.69999999999999</v>
      </c>
      <c r="H313">
        <v>190.6</v>
      </c>
      <c r="I313">
        <v>155.69999999999999</v>
      </c>
      <c r="J313">
        <v>185.3</v>
      </c>
      <c r="K313">
        <v>165.2</v>
      </c>
      <c r="L313">
        <v>121.9</v>
      </c>
      <c r="M313">
        <v>169.3</v>
      </c>
      <c r="N313">
        <v>163.19999999999999</v>
      </c>
      <c r="O313">
        <v>174.7</v>
      </c>
      <c r="P313">
        <v>167.7</v>
      </c>
      <c r="Q313">
        <v>192.7</v>
      </c>
      <c r="R313">
        <v>165.7</v>
      </c>
      <c r="S313">
        <v>156.30000000000001</v>
      </c>
      <c r="T313">
        <v>164.3</v>
      </c>
      <c r="U313">
        <v>163.6</v>
      </c>
      <c r="V313">
        <v>164.2</v>
      </c>
      <c r="W313">
        <v>158.4</v>
      </c>
      <c r="X313">
        <v>169.1</v>
      </c>
      <c r="Y313">
        <v>155.69999999999999</v>
      </c>
      <c r="Z313">
        <v>158.6</v>
      </c>
      <c r="AA313">
        <v>163.9</v>
      </c>
      <c r="AB313">
        <v>160.80000000000001</v>
      </c>
      <c r="AC313">
        <v>161</v>
      </c>
      <c r="AD313">
        <v>165.5</v>
      </c>
    </row>
    <row r="314" spans="1:30" x14ac:dyDescent="0.3">
      <c r="A314" t="s">
        <v>28</v>
      </c>
      <c r="B314">
        <v>2021</v>
      </c>
      <c r="C314" t="s">
        <v>43</v>
      </c>
      <c r="D314">
        <v>146.9</v>
      </c>
      <c r="E314">
        <v>199.8</v>
      </c>
      <c r="F314">
        <v>171.5</v>
      </c>
      <c r="G314">
        <v>159.1</v>
      </c>
      <c r="H314">
        <v>198.4</v>
      </c>
      <c r="I314">
        <v>153.19999999999999</v>
      </c>
      <c r="J314">
        <v>183.9</v>
      </c>
      <c r="K314">
        <v>165.4</v>
      </c>
      <c r="L314">
        <v>122.1</v>
      </c>
      <c r="M314">
        <v>170.8</v>
      </c>
      <c r="N314">
        <v>169.1</v>
      </c>
      <c r="O314">
        <v>174.3</v>
      </c>
      <c r="P314">
        <v>167.5</v>
      </c>
      <c r="Q314">
        <v>191.4</v>
      </c>
      <c r="R314">
        <v>170.4</v>
      </c>
      <c r="S314">
        <v>166</v>
      </c>
      <c r="T314">
        <v>169.8</v>
      </c>
      <c r="U314" t="s">
        <v>30</v>
      </c>
      <c r="V314">
        <v>165.3</v>
      </c>
      <c r="W314">
        <v>162.9</v>
      </c>
      <c r="X314">
        <v>173.4</v>
      </c>
      <c r="Y314">
        <v>158.9</v>
      </c>
      <c r="Z314">
        <v>163.80000000000001</v>
      </c>
      <c r="AA314">
        <v>169.3</v>
      </c>
      <c r="AB314">
        <v>162.4</v>
      </c>
      <c r="AC314">
        <v>165.2</v>
      </c>
      <c r="AD314">
        <v>167.6</v>
      </c>
    </row>
    <row r="315" spans="1:30" x14ac:dyDescent="0.3">
      <c r="A315" t="s">
        <v>31</v>
      </c>
      <c r="B315">
        <v>2021</v>
      </c>
      <c r="C315" t="s">
        <v>43</v>
      </c>
      <c r="D315">
        <v>151</v>
      </c>
      <c r="E315">
        <v>204.9</v>
      </c>
      <c r="F315">
        <v>175.4</v>
      </c>
      <c r="G315">
        <v>159.6</v>
      </c>
      <c r="H315">
        <v>175.8</v>
      </c>
      <c r="I315">
        <v>160.30000000000001</v>
      </c>
      <c r="J315">
        <v>229.1</v>
      </c>
      <c r="K315">
        <v>165.1</v>
      </c>
      <c r="L315">
        <v>123.1</v>
      </c>
      <c r="M315">
        <v>167.2</v>
      </c>
      <c r="N315">
        <v>156.1</v>
      </c>
      <c r="O315">
        <v>176.8</v>
      </c>
      <c r="P315">
        <v>173.5</v>
      </c>
      <c r="Q315">
        <v>197</v>
      </c>
      <c r="R315">
        <v>162.30000000000001</v>
      </c>
      <c r="S315">
        <v>145.30000000000001</v>
      </c>
      <c r="T315">
        <v>159.69999999999999</v>
      </c>
      <c r="U315">
        <v>164.2</v>
      </c>
      <c r="V315">
        <v>161.6</v>
      </c>
      <c r="W315">
        <v>155.19999999999999</v>
      </c>
      <c r="X315">
        <v>164.2</v>
      </c>
      <c r="Y315">
        <v>151.19999999999999</v>
      </c>
      <c r="Z315">
        <v>156.69999999999999</v>
      </c>
      <c r="AA315">
        <v>160.80000000000001</v>
      </c>
      <c r="AB315">
        <v>161.80000000000001</v>
      </c>
      <c r="AC315">
        <v>157.30000000000001</v>
      </c>
      <c r="AD315">
        <v>165.6</v>
      </c>
    </row>
    <row r="316" spans="1:30" x14ac:dyDescent="0.3">
      <c r="A316" t="s">
        <v>32</v>
      </c>
      <c r="B316">
        <v>2021</v>
      </c>
      <c r="C316" t="s">
        <v>43</v>
      </c>
      <c r="D316">
        <v>148.19999999999999</v>
      </c>
      <c r="E316">
        <v>201.6</v>
      </c>
      <c r="F316">
        <v>173</v>
      </c>
      <c r="G316">
        <v>159.30000000000001</v>
      </c>
      <c r="H316">
        <v>190.1</v>
      </c>
      <c r="I316">
        <v>156.5</v>
      </c>
      <c r="J316">
        <v>199.2</v>
      </c>
      <c r="K316">
        <v>165.3</v>
      </c>
      <c r="L316">
        <v>122.4</v>
      </c>
      <c r="M316">
        <v>169.6</v>
      </c>
      <c r="N316">
        <v>163.69999999999999</v>
      </c>
      <c r="O316">
        <v>175.5</v>
      </c>
      <c r="P316">
        <v>169.7</v>
      </c>
      <c r="Q316">
        <v>192.9</v>
      </c>
      <c r="R316">
        <v>167.2</v>
      </c>
      <c r="S316">
        <v>157.4</v>
      </c>
      <c r="T316">
        <v>165.8</v>
      </c>
      <c r="U316">
        <v>164.2</v>
      </c>
      <c r="V316">
        <v>163.9</v>
      </c>
      <c r="W316">
        <v>159.30000000000001</v>
      </c>
      <c r="X316">
        <v>169.9</v>
      </c>
      <c r="Y316">
        <v>154.80000000000001</v>
      </c>
      <c r="Z316">
        <v>159.80000000000001</v>
      </c>
      <c r="AA316">
        <v>164.3</v>
      </c>
      <c r="AB316">
        <v>162.19999999999999</v>
      </c>
      <c r="AC316">
        <v>161.4</v>
      </c>
      <c r="AD316">
        <v>166.7</v>
      </c>
    </row>
    <row r="317" spans="1:30" x14ac:dyDescent="0.3">
      <c r="A317" t="s">
        <v>28</v>
      </c>
      <c r="B317">
        <v>2021</v>
      </c>
      <c r="C317" t="s">
        <v>44</v>
      </c>
      <c r="D317">
        <v>147.4</v>
      </c>
      <c r="E317">
        <v>197</v>
      </c>
      <c r="F317">
        <v>176.5</v>
      </c>
      <c r="G317">
        <v>159.80000000000001</v>
      </c>
      <c r="H317">
        <v>195.8</v>
      </c>
      <c r="I317">
        <v>152</v>
      </c>
      <c r="J317">
        <v>172.3</v>
      </c>
      <c r="K317">
        <v>164.5</v>
      </c>
      <c r="L317">
        <v>120.6</v>
      </c>
      <c r="M317">
        <v>171.7</v>
      </c>
      <c r="N317">
        <v>169.7</v>
      </c>
      <c r="O317">
        <v>175.1</v>
      </c>
      <c r="P317">
        <v>165.8</v>
      </c>
      <c r="Q317">
        <v>190.8</v>
      </c>
      <c r="R317">
        <v>171.8</v>
      </c>
      <c r="S317">
        <v>167.3</v>
      </c>
      <c r="T317">
        <v>171.2</v>
      </c>
      <c r="U317" t="s">
        <v>30</v>
      </c>
      <c r="V317">
        <v>165.6</v>
      </c>
      <c r="W317">
        <v>163.9</v>
      </c>
      <c r="X317">
        <v>174</v>
      </c>
      <c r="Y317">
        <v>160.1</v>
      </c>
      <c r="Z317">
        <v>164.5</v>
      </c>
      <c r="AA317">
        <v>169.7</v>
      </c>
      <c r="AB317">
        <v>162.80000000000001</v>
      </c>
      <c r="AC317">
        <v>166</v>
      </c>
      <c r="AD317">
        <v>167</v>
      </c>
    </row>
    <row r="318" spans="1:30" x14ac:dyDescent="0.3">
      <c r="A318" t="s">
        <v>31</v>
      </c>
      <c r="B318">
        <v>2021</v>
      </c>
      <c r="C318" t="s">
        <v>44</v>
      </c>
      <c r="D318">
        <v>151.6</v>
      </c>
      <c r="E318">
        <v>202.2</v>
      </c>
      <c r="F318">
        <v>180</v>
      </c>
      <c r="G318">
        <v>160</v>
      </c>
      <c r="H318">
        <v>173.5</v>
      </c>
      <c r="I318">
        <v>158.30000000000001</v>
      </c>
      <c r="J318">
        <v>219.5</v>
      </c>
      <c r="K318">
        <v>164.2</v>
      </c>
      <c r="L318">
        <v>121.9</v>
      </c>
      <c r="M318">
        <v>168.2</v>
      </c>
      <c r="N318">
        <v>156.5</v>
      </c>
      <c r="O318">
        <v>178.2</v>
      </c>
      <c r="P318">
        <v>172.2</v>
      </c>
      <c r="Q318">
        <v>196.8</v>
      </c>
      <c r="R318">
        <v>163.30000000000001</v>
      </c>
      <c r="S318">
        <v>146.69999999999999</v>
      </c>
      <c r="T318">
        <v>160.69999999999999</v>
      </c>
      <c r="U318">
        <v>163.4</v>
      </c>
      <c r="V318">
        <v>161.69999999999999</v>
      </c>
      <c r="W318">
        <v>156</v>
      </c>
      <c r="X318">
        <v>165.1</v>
      </c>
      <c r="Y318">
        <v>151.80000000000001</v>
      </c>
      <c r="Z318">
        <v>157.6</v>
      </c>
      <c r="AA318">
        <v>160.6</v>
      </c>
      <c r="AB318">
        <v>162.4</v>
      </c>
      <c r="AC318">
        <v>157.80000000000001</v>
      </c>
      <c r="AD318">
        <v>165.2</v>
      </c>
    </row>
    <row r="319" spans="1:30" x14ac:dyDescent="0.3">
      <c r="A319" t="s">
        <v>32</v>
      </c>
      <c r="B319">
        <v>2021</v>
      </c>
      <c r="C319" t="s">
        <v>44</v>
      </c>
      <c r="D319">
        <v>148.69999999999999</v>
      </c>
      <c r="E319">
        <v>198.8</v>
      </c>
      <c r="F319">
        <v>177.9</v>
      </c>
      <c r="G319">
        <v>159.9</v>
      </c>
      <c r="H319">
        <v>187.6</v>
      </c>
      <c r="I319">
        <v>154.9</v>
      </c>
      <c r="J319">
        <v>188.3</v>
      </c>
      <c r="K319">
        <v>164.4</v>
      </c>
      <c r="L319">
        <v>121</v>
      </c>
      <c r="M319">
        <v>170.5</v>
      </c>
      <c r="N319">
        <v>164.2</v>
      </c>
      <c r="O319">
        <v>176.5</v>
      </c>
      <c r="P319">
        <v>168.2</v>
      </c>
      <c r="Q319">
        <v>192.4</v>
      </c>
      <c r="R319">
        <v>168.5</v>
      </c>
      <c r="S319">
        <v>158.69999999999999</v>
      </c>
      <c r="T319">
        <v>167</v>
      </c>
      <c r="U319">
        <v>163.4</v>
      </c>
      <c r="V319">
        <v>164.1</v>
      </c>
      <c r="W319">
        <v>160.19999999999999</v>
      </c>
      <c r="X319">
        <v>170.6</v>
      </c>
      <c r="Y319">
        <v>155.69999999999999</v>
      </c>
      <c r="Z319">
        <v>160.6</v>
      </c>
      <c r="AA319">
        <v>164.4</v>
      </c>
      <c r="AB319">
        <v>162.6</v>
      </c>
      <c r="AC319">
        <v>162</v>
      </c>
      <c r="AD319">
        <v>166.2</v>
      </c>
    </row>
    <row r="320" spans="1:30" x14ac:dyDescent="0.3">
      <c r="A320" t="s">
        <v>28</v>
      </c>
      <c r="B320">
        <v>2022</v>
      </c>
      <c r="C320" t="s">
        <v>29</v>
      </c>
      <c r="D320">
        <v>148.30000000000001</v>
      </c>
      <c r="E320">
        <v>196.9</v>
      </c>
      <c r="F320">
        <v>178</v>
      </c>
      <c r="G320">
        <v>160.5</v>
      </c>
      <c r="H320">
        <v>192.6</v>
      </c>
      <c r="I320">
        <v>151.19999999999999</v>
      </c>
      <c r="J320">
        <v>159.19999999999999</v>
      </c>
      <c r="K320">
        <v>164</v>
      </c>
      <c r="L320">
        <v>119.3</v>
      </c>
      <c r="M320">
        <v>173.3</v>
      </c>
      <c r="N320">
        <v>169.8</v>
      </c>
      <c r="O320">
        <v>175.8</v>
      </c>
      <c r="P320">
        <v>164.1</v>
      </c>
      <c r="Q320">
        <v>190.7</v>
      </c>
      <c r="R320">
        <v>173.2</v>
      </c>
      <c r="S320">
        <v>169.3</v>
      </c>
      <c r="T320">
        <v>172.7</v>
      </c>
      <c r="U320" t="s">
        <v>30</v>
      </c>
      <c r="V320">
        <v>165.8</v>
      </c>
      <c r="W320">
        <v>164.9</v>
      </c>
      <c r="X320">
        <v>174.7</v>
      </c>
      <c r="Y320">
        <v>160.80000000000001</v>
      </c>
      <c r="Z320">
        <v>164.9</v>
      </c>
      <c r="AA320">
        <v>169.9</v>
      </c>
      <c r="AB320">
        <v>163.19999999999999</v>
      </c>
      <c r="AC320">
        <v>166.6</v>
      </c>
      <c r="AD320">
        <v>166.4</v>
      </c>
    </row>
    <row r="321" spans="1:30" x14ac:dyDescent="0.3">
      <c r="A321" t="s">
        <v>31</v>
      </c>
      <c r="B321">
        <v>2022</v>
      </c>
      <c r="C321" t="s">
        <v>29</v>
      </c>
      <c r="D321">
        <v>152.19999999999999</v>
      </c>
      <c r="E321">
        <v>202.1</v>
      </c>
      <c r="F321">
        <v>180.1</v>
      </c>
      <c r="G321">
        <v>160.4</v>
      </c>
      <c r="H321">
        <v>171</v>
      </c>
      <c r="I321">
        <v>156.5</v>
      </c>
      <c r="J321">
        <v>203.6</v>
      </c>
      <c r="K321">
        <v>163.80000000000001</v>
      </c>
      <c r="L321">
        <v>121.3</v>
      </c>
      <c r="M321">
        <v>169.8</v>
      </c>
      <c r="N321">
        <v>156.6</v>
      </c>
      <c r="O321">
        <v>179</v>
      </c>
      <c r="P321">
        <v>170.3</v>
      </c>
      <c r="Q321">
        <v>196.4</v>
      </c>
      <c r="R321">
        <v>164.7</v>
      </c>
      <c r="S321">
        <v>148.5</v>
      </c>
      <c r="T321">
        <v>162.19999999999999</v>
      </c>
      <c r="U321">
        <v>164.5</v>
      </c>
      <c r="V321">
        <v>161.6</v>
      </c>
      <c r="W321">
        <v>156.80000000000001</v>
      </c>
      <c r="X321">
        <v>166.1</v>
      </c>
      <c r="Y321">
        <v>152.69999999999999</v>
      </c>
      <c r="Z321">
        <v>158.4</v>
      </c>
      <c r="AA321">
        <v>161</v>
      </c>
      <c r="AB321">
        <v>162.80000000000001</v>
      </c>
      <c r="AC321">
        <v>158.6</v>
      </c>
      <c r="AD321">
        <v>165</v>
      </c>
    </row>
    <row r="322" spans="1:30" x14ac:dyDescent="0.3">
      <c r="A322" t="s">
        <v>32</v>
      </c>
      <c r="B322">
        <v>2022</v>
      </c>
      <c r="C322" t="s">
        <v>29</v>
      </c>
      <c r="D322">
        <v>149.5</v>
      </c>
      <c r="E322">
        <v>198.7</v>
      </c>
      <c r="F322">
        <v>178.8</v>
      </c>
      <c r="G322">
        <v>160.5</v>
      </c>
      <c r="H322">
        <v>184.7</v>
      </c>
      <c r="I322">
        <v>153.69999999999999</v>
      </c>
      <c r="J322">
        <v>174.3</v>
      </c>
      <c r="K322">
        <v>163.9</v>
      </c>
      <c r="L322">
        <v>120</v>
      </c>
      <c r="M322">
        <v>172.1</v>
      </c>
      <c r="N322">
        <v>164.3</v>
      </c>
      <c r="O322">
        <v>177.3</v>
      </c>
      <c r="P322">
        <v>166.4</v>
      </c>
      <c r="Q322">
        <v>192.2</v>
      </c>
      <c r="R322">
        <v>169.9</v>
      </c>
      <c r="S322">
        <v>160.69999999999999</v>
      </c>
      <c r="T322">
        <v>168.5</v>
      </c>
      <c r="U322">
        <v>164.5</v>
      </c>
      <c r="V322">
        <v>164.2</v>
      </c>
      <c r="W322">
        <v>161.1</v>
      </c>
      <c r="X322">
        <v>171.4</v>
      </c>
      <c r="Y322">
        <v>156.5</v>
      </c>
      <c r="Z322">
        <v>161.19999999999999</v>
      </c>
      <c r="AA322">
        <v>164.7</v>
      </c>
      <c r="AB322">
        <v>163</v>
      </c>
      <c r="AC322">
        <v>162.69999999999999</v>
      </c>
      <c r="AD322">
        <v>165.7</v>
      </c>
    </row>
    <row r="323" spans="1:30" x14ac:dyDescent="0.3">
      <c r="A323" t="s">
        <v>28</v>
      </c>
      <c r="B323">
        <v>2022</v>
      </c>
      <c r="C323" t="s">
        <v>33</v>
      </c>
      <c r="D323">
        <v>148.80000000000001</v>
      </c>
      <c r="E323">
        <v>198.1</v>
      </c>
      <c r="F323">
        <v>175.5</v>
      </c>
      <c r="G323">
        <v>160.69999999999999</v>
      </c>
      <c r="H323">
        <v>192.6</v>
      </c>
      <c r="I323">
        <v>151.4</v>
      </c>
      <c r="J323">
        <v>155.19999999999999</v>
      </c>
      <c r="K323">
        <v>163.9</v>
      </c>
      <c r="L323">
        <v>118.1</v>
      </c>
      <c r="M323">
        <v>175.4</v>
      </c>
      <c r="N323">
        <v>170.5</v>
      </c>
      <c r="O323">
        <v>176.3</v>
      </c>
      <c r="P323">
        <v>163.9</v>
      </c>
      <c r="Q323">
        <v>191.5</v>
      </c>
      <c r="R323">
        <v>174.1</v>
      </c>
      <c r="S323">
        <v>171</v>
      </c>
      <c r="T323">
        <v>173.7</v>
      </c>
      <c r="U323" t="s">
        <v>30</v>
      </c>
      <c r="V323">
        <v>167.4</v>
      </c>
      <c r="W323">
        <v>165.7</v>
      </c>
      <c r="X323">
        <v>175.3</v>
      </c>
      <c r="Y323">
        <v>161.19999999999999</v>
      </c>
      <c r="Z323">
        <v>165.5</v>
      </c>
      <c r="AA323">
        <v>170.3</v>
      </c>
      <c r="AB323">
        <v>164.5</v>
      </c>
      <c r="AC323">
        <v>167.3</v>
      </c>
      <c r="AD323">
        <v>166.7</v>
      </c>
    </row>
    <row r="324" spans="1:30" x14ac:dyDescent="0.3">
      <c r="A324" t="s">
        <v>31</v>
      </c>
      <c r="B324">
        <v>2022</v>
      </c>
      <c r="C324" t="s">
        <v>33</v>
      </c>
      <c r="D324">
        <v>152.5</v>
      </c>
      <c r="E324">
        <v>205.2</v>
      </c>
      <c r="F324">
        <v>176.4</v>
      </c>
      <c r="G324">
        <v>160.6</v>
      </c>
      <c r="H324">
        <v>171.5</v>
      </c>
      <c r="I324">
        <v>156.4</v>
      </c>
      <c r="J324">
        <v>198</v>
      </c>
      <c r="K324">
        <v>163.19999999999999</v>
      </c>
      <c r="L324">
        <v>120.6</v>
      </c>
      <c r="M324">
        <v>172.2</v>
      </c>
      <c r="N324">
        <v>156.69999999999999</v>
      </c>
      <c r="O324">
        <v>180</v>
      </c>
      <c r="P324">
        <v>170.2</v>
      </c>
      <c r="Q324">
        <v>196.5</v>
      </c>
      <c r="R324">
        <v>165.7</v>
      </c>
      <c r="S324">
        <v>150.4</v>
      </c>
      <c r="T324">
        <v>163.4</v>
      </c>
      <c r="U324">
        <v>165.5</v>
      </c>
      <c r="V324">
        <v>163</v>
      </c>
      <c r="W324">
        <v>157.4</v>
      </c>
      <c r="X324">
        <v>167.2</v>
      </c>
      <c r="Y324">
        <v>153.1</v>
      </c>
      <c r="Z324">
        <v>159.5</v>
      </c>
      <c r="AA324">
        <v>162</v>
      </c>
      <c r="AB324">
        <v>164.2</v>
      </c>
      <c r="AC324">
        <v>159.4</v>
      </c>
      <c r="AD324">
        <v>165.5</v>
      </c>
    </row>
    <row r="325" spans="1:30" x14ac:dyDescent="0.3">
      <c r="A325" t="s">
        <v>32</v>
      </c>
      <c r="B325">
        <v>2022</v>
      </c>
      <c r="C325" t="s">
        <v>33</v>
      </c>
      <c r="D325">
        <v>150</v>
      </c>
      <c r="E325">
        <v>200.6</v>
      </c>
      <c r="F325">
        <v>175.8</v>
      </c>
      <c r="G325">
        <v>160.69999999999999</v>
      </c>
      <c r="H325">
        <v>184.9</v>
      </c>
      <c r="I325">
        <v>153.69999999999999</v>
      </c>
      <c r="J325">
        <v>169.7</v>
      </c>
      <c r="K325">
        <v>163.69999999999999</v>
      </c>
      <c r="L325">
        <v>118.9</v>
      </c>
      <c r="M325">
        <v>174.3</v>
      </c>
      <c r="N325">
        <v>164.7</v>
      </c>
      <c r="O325">
        <v>178</v>
      </c>
      <c r="P325">
        <v>166.2</v>
      </c>
      <c r="Q325">
        <v>192.8</v>
      </c>
      <c r="R325">
        <v>170.8</v>
      </c>
      <c r="S325">
        <v>162.4</v>
      </c>
      <c r="T325">
        <v>169.6</v>
      </c>
      <c r="U325">
        <v>165.5</v>
      </c>
      <c r="V325">
        <v>165.7</v>
      </c>
      <c r="W325">
        <v>161.80000000000001</v>
      </c>
      <c r="X325">
        <v>172.2</v>
      </c>
      <c r="Y325">
        <v>156.9</v>
      </c>
      <c r="Z325">
        <v>162.1</v>
      </c>
      <c r="AA325">
        <v>165.4</v>
      </c>
      <c r="AB325">
        <v>164.4</v>
      </c>
      <c r="AC325">
        <v>163.5</v>
      </c>
      <c r="AD325">
        <v>166.1</v>
      </c>
    </row>
    <row r="326" spans="1:30" x14ac:dyDescent="0.3">
      <c r="A326" t="s">
        <v>28</v>
      </c>
      <c r="B326">
        <v>2022</v>
      </c>
      <c r="C326" t="s">
        <v>34</v>
      </c>
      <c r="D326">
        <v>150.19999999999999</v>
      </c>
      <c r="E326">
        <v>208</v>
      </c>
      <c r="F326">
        <v>167.9</v>
      </c>
      <c r="G326">
        <v>162</v>
      </c>
      <c r="H326">
        <v>203.1</v>
      </c>
      <c r="I326">
        <v>155.9</v>
      </c>
      <c r="J326">
        <v>155.80000000000001</v>
      </c>
      <c r="K326">
        <v>164.2</v>
      </c>
      <c r="L326">
        <v>118.1</v>
      </c>
      <c r="M326">
        <v>178.7</v>
      </c>
      <c r="N326">
        <v>171.2</v>
      </c>
      <c r="O326">
        <v>177.4</v>
      </c>
      <c r="P326">
        <v>166.6</v>
      </c>
      <c r="Q326">
        <v>192.3</v>
      </c>
      <c r="R326">
        <v>175.4</v>
      </c>
      <c r="S326">
        <v>173.2</v>
      </c>
      <c r="T326">
        <v>175.1</v>
      </c>
      <c r="U326" t="s">
        <v>30</v>
      </c>
      <c r="V326">
        <v>168.9</v>
      </c>
      <c r="W326">
        <v>166.5</v>
      </c>
      <c r="X326">
        <v>176</v>
      </c>
      <c r="Y326">
        <v>162</v>
      </c>
      <c r="Z326">
        <v>166.6</v>
      </c>
      <c r="AA326">
        <v>170.6</v>
      </c>
      <c r="AB326">
        <v>167.4</v>
      </c>
      <c r="AC326">
        <v>168.3</v>
      </c>
      <c r="AD326">
        <v>168.7</v>
      </c>
    </row>
    <row r="327" spans="1:30" x14ac:dyDescent="0.3">
      <c r="A327" t="s">
        <v>31</v>
      </c>
      <c r="B327">
        <v>2022</v>
      </c>
      <c r="C327" t="s">
        <v>34</v>
      </c>
      <c r="D327">
        <v>153.69999999999999</v>
      </c>
      <c r="E327">
        <v>215.8</v>
      </c>
      <c r="F327">
        <v>167.7</v>
      </c>
      <c r="G327">
        <v>162.6</v>
      </c>
      <c r="H327">
        <v>180</v>
      </c>
      <c r="I327">
        <v>159.6</v>
      </c>
      <c r="J327">
        <v>188.4</v>
      </c>
      <c r="K327">
        <v>163.4</v>
      </c>
      <c r="L327">
        <v>120.3</v>
      </c>
      <c r="M327">
        <v>174.7</v>
      </c>
      <c r="N327">
        <v>157.1</v>
      </c>
      <c r="O327">
        <v>181.5</v>
      </c>
      <c r="P327">
        <v>171.5</v>
      </c>
      <c r="Q327">
        <v>197.5</v>
      </c>
      <c r="R327">
        <v>167.1</v>
      </c>
      <c r="S327">
        <v>152.6</v>
      </c>
      <c r="T327">
        <v>164.9</v>
      </c>
      <c r="U327">
        <v>165.3</v>
      </c>
      <c r="V327">
        <v>164.5</v>
      </c>
      <c r="W327">
        <v>158.6</v>
      </c>
      <c r="X327">
        <v>168.2</v>
      </c>
      <c r="Y327">
        <v>154.19999999999999</v>
      </c>
      <c r="Z327">
        <v>160.80000000000001</v>
      </c>
      <c r="AA327">
        <v>162.69999999999999</v>
      </c>
      <c r="AB327">
        <v>166.8</v>
      </c>
      <c r="AC327">
        <v>160.6</v>
      </c>
      <c r="AD327">
        <v>166.5</v>
      </c>
    </row>
    <row r="328" spans="1:30" x14ac:dyDescent="0.3">
      <c r="A328" t="s">
        <v>32</v>
      </c>
      <c r="B328">
        <v>2022</v>
      </c>
      <c r="C328" t="s">
        <v>34</v>
      </c>
      <c r="D328">
        <v>151.30000000000001</v>
      </c>
      <c r="E328">
        <v>210.7</v>
      </c>
      <c r="F328">
        <v>167.8</v>
      </c>
      <c r="G328">
        <v>162.19999999999999</v>
      </c>
      <c r="H328">
        <v>194.6</v>
      </c>
      <c r="I328">
        <v>157.6</v>
      </c>
      <c r="J328">
        <v>166.9</v>
      </c>
      <c r="K328">
        <v>163.9</v>
      </c>
      <c r="L328">
        <v>118.8</v>
      </c>
      <c r="M328">
        <v>177.4</v>
      </c>
      <c r="N328">
        <v>165.3</v>
      </c>
      <c r="O328">
        <v>179.3</v>
      </c>
      <c r="P328">
        <v>168.4</v>
      </c>
      <c r="Q328">
        <v>193.7</v>
      </c>
      <c r="R328">
        <v>172.1</v>
      </c>
      <c r="S328">
        <v>164.6</v>
      </c>
      <c r="T328">
        <v>171.1</v>
      </c>
      <c r="U328">
        <v>165.3</v>
      </c>
      <c r="V328">
        <v>167.2</v>
      </c>
      <c r="W328">
        <v>162.80000000000001</v>
      </c>
      <c r="X328">
        <v>173</v>
      </c>
      <c r="Y328">
        <v>157.9</v>
      </c>
      <c r="Z328">
        <v>163.30000000000001</v>
      </c>
      <c r="AA328">
        <v>166</v>
      </c>
      <c r="AB328">
        <v>167.2</v>
      </c>
      <c r="AC328">
        <v>164.6</v>
      </c>
      <c r="AD328">
        <v>167.7</v>
      </c>
    </row>
    <row r="329" spans="1:30" x14ac:dyDescent="0.3">
      <c r="A329" t="s">
        <v>28</v>
      </c>
      <c r="B329">
        <v>2022</v>
      </c>
      <c r="C329" t="s">
        <v>35</v>
      </c>
      <c r="D329">
        <v>151.80000000000001</v>
      </c>
      <c r="E329">
        <v>209.7</v>
      </c>
      <c r="F329">
        <v>164.5</v>
      </c>
      <c r="G329">
        <v>163.80000000000001</v>
      </c>
      <c r="H329">
        <v>207.4</v>
      </c>
      <c r="I329">
        <v>169.7</v>
      </c>
      <c r="J329">
        <v>153.6</v>
      </c>
      <c r="K329">
        <v>165.1</v>
      </c>
      <c r="L329">
        <v>118.2</v>
      </c>
      <c r="M329">
        <v>182.9</v>
      </c>
      <c r="N329">
        <v>172.4</v>
      </c>
      <c r="O329">
        <v>178.9</v>
      </c>
      <c r="P329">
        <v>168.6</v>
      </c>
      <c r="Q329">
        <v>192.8</v>
      </c>
      <c r="R329">
        <v>177.5</v>
      </c>
      <c r="S329">
        <v>175.1</v>
      </c>
      <c r="T329">
        <v>177.1</v>
      </c>
      <c r="U329" t="s">
        <v>30</v>
      </c>
      <c r="V329">
        <v>173.3</v>
      </c>
      <c r="W329">
        <v>167.7</v>
      </c>
      <c r="X329">
        <v>177</v>
      </c>
      <c r="Y329">
        <v>166.2</v>
      </c>
      <c r="Z329">
        <v>167.2</v>
      </c>
      <c r="AA329">
        <v>170.9</v>
      </c>
      <c r="AB329">
        <v>169</v>
      </c>
      <c r="AC329">
        <v>170.2</v>
      </c>
      <c r="AD329">
        <v>170.8</v>
      </c>
    </row>
    <row r="330" spans="1:30" x14ac:dyDescent="0.3">
      <c r="A330" t="s">
        <v>31</v>
      </c>
      <c r="B330">
        <v>2022</v>
      </c>
      <c r="C330" t="s">
        <v>35</v>
      </c>
      <c r="D330">
        <v>155.4</v>
      </c>
      <c r="E330">
        <v>215.8</v>
      </c>
      <c r="F330">
        <v>164.6</v>
      </c>
      <c r="G330">
        <v>164.2</v>
      </c>
      <c r="H330">
        <v>186</v>
      </c>
      <c r="I330">
        <v>175.9</v>
      </c>
      <c r="J330">
        <v>190.7</v>
      </c>
      <c r="K330">
        <v>164</v>
      </c>
      <c r="L330">
        <v>120.5</v>
      </c>
      <c r="M330">
        <v>178</v>
      </c>
      <c r="N330">
        <v>157.5</v>
      </c>
      <c r="O330">
        <v>183.3</v>
      </c>
      <c r="P330">
        <v>174.5</v>
      </c>
      <c r="Q330">
        <v>197.1</v>
      </c>
      <c r="R330">
        <v>168.4</v>
      </c>
      <c r="S330">
        <v>154.5</v>
      </c>
      <c r="T330">
        <v>166.3</v>
      </c>
      <c r="U330">
        <v>167</v>
      </c>
      <c r="V330">
        <v>170.5</v>
      </c>
      <c r="W330">
        <v>159.80000000000001</v>
      </c>
      <c r="X330">
        <v>169</v>
      </c>
      <c r="Y330">
        <v>159.30000000000001</v>
      </c>
      <c r="Z330">
        <v>162.19999999999999</v>
      </c>
      <c r="AA330">
        <v>164</v>
      </c>
      <c r="AB330">
        <v>168.4</v>
      </c>
      <c r="AC330">
        <v>163.1</v>
      </c>
      <c r="AD330">
        <v>169.2</v>
      </c>
    </row>
    <row r="331" spans="1:30" x14ac:dyDescent="0.3">
      <c r="A331" t="s">
        <v>32</v>
      </c>
      <c r="B331">
        <v>2022</v>
      </c>
      <c r="C331" t="s">
        <v>35</v>
      </c>
      <c r="D331">
        <v>152.9</v>
      </c>
      <c r="E331">
        <v>211.8</v>
      </c>
      <c r="F331">
        <v>164.5</v>
      </c>
      <c r="G331">
        <v>163.9</v>
      </c>
      <c r="H331">
        <v>199.5</v>
      </c>
      <c r="I331">
        <v>172.6</v>
      </c>
      <c r="J331">
        <v>166.2</v>
      </c>
      <c r="K331">
        <v>164.7</v>
      </c>
      <c r="L331">
        <v>119</v>
      </c>
      <c r="M331">
        <v>181.3</v>
      </c>
      <c r="N331">
        <v>166.2</v>
      </c>
      <c r="O331">
        <v>180.9</v>
      </c>
      <c r="P331">
        <v>170.8</v>
      </c>
      <c r="Q331">
        <v>193.9</v>
      </c>
      <c r="R331">
        <v>173.9</v>
      </c>
      <c r="S331">
        <v>166.5</v>
      </c>
      <c r="T331">
        <v>172.8</v>
      </c>
      <c r="U331">
        <v>167</v>
      </c>
      <c r="V331">
        <v>172.2</v>
      </c>
      <c r="W331">
        <v>164</v>
      </c>
      <c r="X331">
        <v>174</v>
      </c>
      <c r="Y331">
        <v>162.6</v>
      </c>
      <c r="Z331">
        <v>164.4</v>
      </c>
      <c r="AA331">
        <v>166.9</v>
      </c>
      <c r="AB331">
        <v>168.8</v>
      </c>
      <c r="AC331">
        <v>166.8</v>
      </c>
      <c r="AD331">
        <v>170.1</v>
      </c>
    </row>
    <row r="332" spans="1:30" x14ac:dyDescent="0.3">
      <c r="A332" t="s">
        <v>28</v>
      </c>
      <c r="B332">
        <v>2022</v>
      </c>
      <c r="C332" t="s">
        <v>36</v>
      </c>
      <c r="D332">
        <v>152.9</v>
      </c>
      <c r="E332">
        <v>214.7</v>
      </c>
      <c r="F332">
        <v>161.4</v>
      </c>
      <c r="G332">
        <v>164.6</v>
      </c>
      <c r="H332">
        <v>209.9</v>
      </c>
      <c r="I332">
        <v>168</v>
      </c>
      <c r="J332">
        <v>160.4</v>
      </c>
      <c r="K332">
        <v>165</v>
      </c>
      <c r="L332">
        <v>118.9</v>
      </c>
      <c r="M332">
        <v>186.6</v>
      </c>
      <c r="N332">
        <v>173.2</v>
      </c>
      <c r="O332">
        <v>180.4</v>
      </c>
      <c r="P332">
        <v>170.8</v>
      </c>
      <c r="Q332">
        <v>192.9</v>
      </c>
      <c r="R332">
        <v>179.3</v>
      </c>
      <c r="S332">
        <v>177.2</v>
      </c>
      <c r="T332">
        <v>179</v>
      </c>
      <c r="U332" t="s">
        <v>30</v>
      </c>
      <c r="V332">
        <v>175.3</v>
      </c>
      <c r="W332">
        <v>168.9</v>
      </c>
      <c r="X332">
        <v>177.7</v>
      </c>
      <c r="Y332">
        <v>167.1</v>
      </c>
      <c r="Z332">
        <v>167.6</v>
      </c>
      <c r="AA332">
        <v>171.8</v>
      </c>
      <c r="AB332">
        <v>168.5</v>
      </c>
      <c r="AC332">
        <v>170.9</v>
      </c>
      <c r="AD332">
        <v>172.5</v>
      </c>
    </row>
    <row r="333" spans="1:30" x14ac:dyDescent="0.3">
      <c r="A333" t="s">
        <v>31</v>
      </c>
      <c r="B333">
        <v>2022</v>
      </c>
      <c r="C333" t="s">
        <v>36</v>
      </c>
      <c r="D333">
        <v>156.69999999999999</v>
      </c>
      <c r="E333">
        <v>221.2</v>
      </c>
      <c r="F333">
        <v>164.1</v>
      </c>
      <c r="G333">
        <v>165.4</v>
      </c>
      <c r="H333">
        <v>189.5</v>
      </c>
      <c r="I333">
        <v>174.5</v>
      </c>
      <c r="J333">
        <v>203.2</v>
      </c>
      <c r="K333">
        <v>164.1</v>
      </c>
      <c r="L333">
        <v>121.2</v>
      </c>
      <c r="M333">
        <v>181.4</v>
      </c>
      <c r="N333">
        <v>158.5</v>
      </c>
      <c r="O333">
        <v>184.9</v>
      </c>
      <c r="P333">
        <v>177.5</v>
      </c>
      <c r="Q333">
        <v>197.5</v>
      </c>
      <c r="R333">
        <v>170</v>
      </c>
      <c r="S333">
        <v>155.9</v>
      </c>
      <c r="T333">
        <v>167.8</v>
      </c>
      <c r="U333">
        <v>167.5</v>
      </c>
      <c r="V333">
        <v>173.5</v>
      </c>
      <c r="W333">
        <v>161.1</v>
      </c>
      <c r="X333">
        <v>170.1</v>
      </c>
      <c r="Y333">
        <v>159.4</v>
      </c>
      <c r="Z333">
        <v>163.19999999999999</v>
      </c>
      <c r="AA333">
        <v>165.2</v>
      </c>
      <c r="AB333">
        <v>168.2</v>
      </c>
      <c r="AC333">
        <v>163.80000000000001</v>
      </c>
      <c r="AD333">
        <v>170.8</v>
      </c>
    </row>
    <row r="334" spans="1:30" x14ac:dyDescent="0.3">
      <c r="A334" t="s">
        <v>32</v>
      </c>
      <c r="B334">
        <v>2022</v>
      </c>
      <c r="C334" t="s">
        <v>36</v>
      </c>
      <c r="D334">
        <v>154.1</v>
      </c>
      <c r="E334">
        <v>217</v>
      </c>
      <c r="F334">
        <v>162.4</v>
      </c>
      <c r="G334">
        <v>164.9</v>
      </c>
      <c r="H334">
        <v>202.4</v>
      </c>
      <c r="I334">
        <v>171</v>
      </c>
      <c r="J334">
        <v>174.9</v>
      </c>
      <c r="K334">
        <v>164.7</v>
      </c>
      <c r="L334">
        <v>119.7</v>
      </c>
      <c r="M334">
        <v>184.9</v>
      </c>
      <c r="N334">
        <v>167.1</v>
      </c>
      <c r="O334">
        <v>182.5</v>
      </c>
      <c r="P334">
        <v>173.3</v>
      </c>
      <c r="Q334">
        <v>194.1</v>
      </c>
      <c r="R334">
        <v>175.6</v>
      </c>
      <c r="S334">
        <v>168.4</v>
      </c>
      <c r="T334">
        <v>174.6</v>
      </c>
      <c r="U334">
        <v>167.5</v>
      </c>
      <c r="V334">
        <v>174.6</v>
      </c>
      <c r="W334">
        <v>165.2</v>
      </c>
      <c r="X334">
        <v>174.8</v>
      </c>
      <c r="Y334">
        <v>163</v>
      </c>
      <c r="Z334">
        <v>165.1</v>
      </c>
      <c r="AA334">
        <v>167.9</v>
      </c>
      <c r="AB334">
        <v>168.4</v>
      </c>
      <c r="AC334">
        <v>167.5</v>
      </c>
      <c r="AD334">
        <v>171.7</v>
      </c>
    </row>
    <row r="335" spans="1:30" x14ac:dyDescent="0.3">
      <c r="A335" t="s">
        <v>28</v>
      </c>
      <c r="B335">
        <v>2022</v>
      </c>
      <c r="C335" t="s">
        <v>37</v>
      </c>
      <c r="D335">
        <v>153.80000000000001</v>
      </c>
      <c r="E335">
        <v>217.2</v>
      </c>
      <c r="F335">
        <v>169.6</v>
      </c>
      <c r="G335">
        <v>165.4</v>
      </c>
      <c r="H335">
        <v>208.1</v>
      </c>
      <c r="I335">
        <v>165.8</v>
      </c>
      <c r="J335">
        <v>167.3</v>
      </c>
      <c r="K335">
        <v>164.6</v>
      </c>
      <c r="L335">
        <v>119.1</v>
      </c>
      <c r="M335">
        <v>188.9</v>
      </c>
      <c r="N335">
        <v>174.2</v>
      </c>
      <c r="O335">
        <v>181.9</v>
      </c>
      <c r="P335">
        <v>172.4</v>
      </c>
      <c r="Q335">
        <v>192.9</v>
      </c>
      <c r="R335">
        <v>180.7</v>
      </c>
      <c r="S335">
        <v>178.7</v>
      </c>
      <c r="T335">
        <v>180.4</v>
      </c>
      <c r="U335" t="s">
        <v>30</v>
      </c>
      <c r="V335">
        <v>176.7</v>
      </c>
      <c r="W335">
        <v>170.3</v>
      </c>
      <c r="X335">
        <v>178.2</v>
      </c>
      <c r="Y335">
        <v>165.5</v>
      </c>
      <c r="Z335">
        <v>168</v>
      </c>
      <c r="AA335">
        <v>172.6</v>
      </c>
      <c r="AB335">
        <v>169.5</v>
      </c>
      <c r="AC335">
        <v>171</v>
      </c>
      <c r="AD335">
        <v>173.6</v>
      </c>
    </row>
    <row r="336" spans="1:30" x14ac:dyDescent="0.3">
      <c r="A336" t="s">
        <v>31</v>
      </c>
      <c r="B336">
        <v>2022</v>
      </c>
      <c r="C336" t="s">
        <v>37</v>
      </c>
      <c r="D336">
        <v>157.5</v>
      </c>
      <c r="E336">
        <v>223.4</v>
      </c>
      <c r="F336">
        <v>172.8</v>
      </c>
      <c r="G336">
        <v>166.4</v>
      </c>
      <c r="H336">
        <v>188.6</v>
      </c>
      <c r="I336">
        <v>174.1</v>
      </c>
      <c r="J336">
        <v>211.5</v>
      </c>
      <c r="K336">
        <v>163.6</v>
      </c>
      <c r="L336">
        <v>121.4</v>
      </c>
      <c r="M336">
        <v>183.5</v>
      </c>
      <c r="N336">
        <v>159.1</v>
      </c>
      <c r="O336">
        <v>186.3</v>
      </c>
      <c r="P336">
        <v>179.3</v>
      </c>
      <c r="Q336">
        <v>198.3</v>
      </c>
      <c r="R336">
        <v>171.6</v>
      </c>
      <c r="S336">
        <v>157.4</v>
      </c>
      <c r="T336">
        <v>169.4</v>
      </c>
      <c r="U336">
        <v>166.8</v>
      </c>
      <c r="V336">
        <v>174.9</v>
      </c>
      <c r="W336">
        <v>162.1</v>
      </c>
      <c r="X336">
        <v>170.9</v>
      </c>
      <c r="Y336">
        <v>157.19999999999999</v>
      </c>
      <c r="Z336">
        <v>164.1</v>
      </c>
      <c r="AA336">
        <v>166.5</v>
      </c>
      <c r="AB336">
        <v>169.2</v>
      </c>
      <c r="AC336">
        <v>163.80000000000001</v>
      </c>
      <c r="AD336">
        <v>171.4</v>
      </c>
    </row>
    <row r="337" spans="1:30" x14ac:dyDescent="0.3">
      <c r="A337" t="s">
        <v>32</v>
      </c>
      <c r="B337">
        <v>2022</v>
      </c>
      <c r="C337" t="s">
        <v>37</v>
      </c>
      <c r="D337">
        <v>155</v>
      </c>
      <c r="E337">
        <v>219.4</v>
      </c>
      <c r="F337">
        <v>170.8</v>
      </c>
      <c r="G337">
        <v>165.8</v>
      </c>
      <c r="H337">
        <v>200.9</v>
      </c>
      <c r="I337">
        <v>169.7</v>
      </c>
      <c r="J337">
        <v>182.3</v>
      </c>
      <c r="K337">
        <v>164.3</v>
      </c>
      <c r="L337">
        <v>119.9</v>
      </c>
      <c r="M337">
        <v>187.1</v>
      </c>
      <c r="N337">
        <v>167.9</v>
      </c>
      <c r="O337">
        <v>183.9</v>
      </c>
      <c r="P337">
        <v>174.9</v>
      </c>
      <c r="Q337">
        <v>194.3</v>
      </c>
      <c r="R337">
        <v>177.1</v>
      </c>
      <c r="S337">
        <v>169.9</v>
      </c>
      <c r="T337">
        <v>176</v>
      </c>
      <c r="U337">
        <v>166.8</v>
      </c>
      <c r="V337">
        <v>176</v>
      </c>
      <c r="W337">
        <v>166.4</v>
      </c>
      <c r="X337">
        <v>175.4</v>
      </c>
      <c r="Y337">
        <v>161.1</v>
      </c>
      <c r="Z337">
        <v>165.8</v>
      </c>
      <c r="AA337">
        <v>169</v>
      </c>
      <c r="AB337">
        <v>169.4</v>
      </c>
      <c r="AC337">
        <v>167.5</v>
      </c>
      <c r="AD337">
        <v>172.6</v>
      </c>
    </row>
    <row r="338" spans="1:30" x14ac:dyDescent="0.3">
      <c r="A338" t="s">
        <v>28</v>
      </c>
      <c r="B338">
        <v>2022</v>
      </c>
      <c r="C338" t="s">
        <v>38</v>
      </c>
      <c r="D338">
        <v>155.19999999999999</v>
      </c>
      <c r="E338">
        <v>210.8</v>
      </c>
      <c r="F338">
        <v>174.3</v>
      </c>
      <c r="G338">
        <v>166.3</v>
      </c>
      <c r="H338">
        <v>202.2</v>
      </c>
      <c r="I338">
        <v>169.6</v>
      </c>
      <c r="J338">
        <v>168.6</v>
      </c>
      <c r="K338">
        <v>164.4</v>
      </c>
      <c r="L338">
        <v>119.2</v>
      </c>
      <c r="M338">
        <v>191.8</v>
      </c>
      <c r="N338">
        <v>174.5</v>
      </c>
      <c r="O338">
        <v>183.1</v>
      </c>
      <c r="P338">
        <v>172.5</v>
      </c>
      <c r="Q338">
        <v>193.2</v>
      </c>
      <c r="R338">
        <v>182</v>
      </c>
      <c r="S338">
        <v>180.3</v>
      </c>
      <c r="T338">
        <v>181.7</v>
      </c>
      <c r="U338" t="s">
        <v>30</v>
      </c>
      <c r="V338">
        <v>179.6</v>
      </c>
      <c r="W338">
        <v>171.3</v>
      </c>
      <c r="X338">
        <v>178.8</v>
      </c>
      <c r="Y338">
        <v>166.3</v>
      </c>
      <c r="Z338">
        <v>168.6</v>
      </c>
      <c r="AA338">
        <v>174.7</v>
      </c>
      <c r="AB338">
        <v>169.7</v>
      </c>
      <c r="AC338">
        <v>171.8</v>
      </c>
      <c r="AD338">
        <v>174.3</v>
      </c>
    </row>
    <row r="339" spans="1:30" x14ac:dyDescent="0.3">
      <c r="A339" t="s">
        <v>31</v>
      </c>
      <c r="B339">
        <v>2022</v>
      </c>
      <c r="C339" t="s">
        <v>38</v>
      </c>
      <c r="D339">
        <v>159.30000000000001</v>
      </c>
      <c r="E339">
        <v>217.1</v>
      </c>
      <c r="F339">
        <v>176.6</v>
      </c>
      <c r="G339">
        <v>167.1</v>
      </c>
      <c r="H339">
        <v>184.8</v>
      </c>
      <c r="I339">
        <v>179.5</v>
      </c>
      <c r="J339">
        <v>208.5</v>
      </c>
      <c r="K339">
        <v>164</v>
      </c>
      <c r="L339">
        <v>121.5</v>
      </c>
      <c r="M339">
        <v>186.3</v>
      </c>
      <c r="N339">
        <v>159.80000000000001</v>
      </c>
      <c r="O339">
        <v>187.7</v>
      </c>
      <c r="P339">
        <v>179.4</v>
      </c>
      <c r="Q339">
        <v>198.6</v>
      </c>
      <c r="R339">
        <v>172.7</v>
      </c>
      <c r="S339">
        <v>158.69999999999999</v>
      </c>
      <c r="T339">
        <v>170.6</v>
      </c>
      <c r="U339">
        <v>167.8</v>
      </c>
      <c r="V339">
        <v>179.5</v>
      </c>
      <c r="W339">
        <v>163.1</v>
      </c>
      <c r="X339">
        <v>171.7</v>
      </c>
      <c r="Y339">
        <v>157.4</v>
      </c>
      <c r="Z339">
        <v>164.6</v>
      </c>
      <c r="AA339">
        <v>169.1</v>
      </c>
      <c r="AB339">
        <v>169.8</v>
      </c>
      <c r="AC339">
        <v>164.7</v>
      </c>
      <c r="AD339">
        <v>172.3</v>
      </c>
    </row>
    <row r="340" spans="1:30" x14ac:dyDescent="0.3">
      <c r="A340" t="s">
        <v>32</v>
      </c>
      <c r="B340">
        <v>2022</v>
      </c>
      <c r="C340" t="s">
        <v>38</v>
      </c>
      <c r="D340">
        <v>156.5</v>
      </c>
      <c r="E340">
        <v>213</v>
      </c>
      <c r="F340">
        <v>175.2</v>
      </c>
      <c r="G340">
        <v>166.6</v>
      </c>
      <c r="H340">
        <v>195.8</v>
      </c>
      <c r="I340">
        <v>174.2</v>
      </c>
      <c r="J340">
        <v>182.1</v>
      </c>
      <c r="K340">
        <v>164.3</v>
      </c>
      <c r="L340">
        <v>120</v>
      </c>
      <c r="M340">
        <v>190</v>
      </c>
      <c r="N340">
        <v>168.4</v>
      </c>
      <c r="O340">
        <v>185.2</v>
      </c>
      <c r="P340">
        <v>175</v>
      </c>
      <c r="Q340">
        <v>194.6</v>
      </c>
      <c r="R340">
        <v>178.3</v>
      </c>
      <c r="S340">
        <v>171.3</v>
      </c>
      <c r="T340">
        <v>177.3</v>
      </c>
      <c r="U340">
        <v>167.8</v>
      </c>
      <c r="V340">
        <v>179.6</v>
      </c>
      <c r="W340">
        <v>167.4</v>
      </c>
      <c r="X340">
        <v>176.1</v>
      </c>
      <c r="Y340">
        <v>161.6</v>
      </c>
      <c r="Z340">
        <v>166.3</v>
      </c>
      <c r="AA340">
        <v>171.4</v>
      </c>
      <c r="AB340">
        <v>169.7</v>
      </c>
      <c r="AC340">
        <v>168.4</v>
      </c>
      <c r="AD340">
        <v>173.4</v>
      </c>
    </row>
    <row r="341" spans="1:30" x14ac:dyDescent="0.3">
      <c r="A341" t="s">
        <v>28</v>
      </c>
      <c r="B341">
        <v>2022</v>
      </c>
      <c r="C341" t="s">
        <v>39</v>
      </c>
      <c r="D341">
        <v>159.5</v>
      </c>
      <c r="E341">
        <v>204.1</v>
      </c>
      <c r="F341">
        <v>168.3</v>
      </c>
      <c r="G341">
        <v>167.9</v>
      </c>
      <c r="H341">
        <v>198.1</v>
      </c>
      <c r="I341">
        <v>169.2</v>
      </c>
      <c r="J341">
        <v>173.1</v>
      </c>
      <c r="K341">
        <v>167.1</v>
      </c>
      <c r="L341">
        <v>120.2</v>
      </c>
      <c r="M341">
        <v>195.6</v>
      </c>
      <c r="N341">
        <v>174.8</v>
      </c>
      <c r="O341">
        <v>184</v>
      </c>
      <c r="P341">
        <v>173.9</v>
      </c>
      <c r="Q341">
        <v>193.7</v>
      </c>
      <c r="R341">
        <v>183.2</v>
      </c>
      <c r="S341">
        <v>181.7</v>
      </c>
      <c r="T341">
        <v>183</v>
      </c>
      <c r="U341" t="s">
        <v>30</v>
      </c>
      <c r="V341">
        <v>179.1</v>
      </c>
      <c r="W341">
        <v>172.3</v>
      </c>
      <c r="X341">
        <v>179.4</v>
      </c>
      <c r="Y341">
        <v>166.6</v>
      </c>
      <c r="Z341">
        <v>169.3</v>
      </c>
      <c r="AA341">
        <v>175.7</v>
      </c>
      <c r="AB341">
        <v>171.1</v>
      </c>
      <c r="AC341">
        <v>172.6</v>
      </c>
      <c r="AD341">
        <v>175.3</v>
      </c>
    </row>
    <row r="342" spans="1:30" x14ac:dyDescent="0.3">
      <c r="A342" t="s">
        <v>31</v>
      </c>
      <c r="B342">
        <v>2022</v>
      </c>
      <c r="C342" t="s">
        <v>39</v>
      </c>
      <c r="D342">
        <v>162.1</v>
      </c>
      <c r="E342">
        <v>210.9</v>
      </c>
      <c r="F342">
        <v>170.6</v>
      </c>
      <c r="G342">
        <v>168.4</v>
      </c>
      <c r="H342">
        <v>182.5</v>
      </c>
      <c r="I342">
        <v>177.1</v>
      </c>
      <c r="J342">
        <v>213.1</v>
      </c>
      <c r="K342">
        <v>167.3</v>
      </c>
      <c r="L342">
        <v>122.2</v>
      </c>
      <c r="M342">
        <v>189.7</v>
      </c>
      <c r="N342">
        <v>160.5</v>
      </c>
      <c r="O342">
        <v>188.9</v>
      </c>
      <c r="P342">
        <v>180.4</v>
      </c>
      <c r="Q342">
        <v>198.7</v>
      </c>
      <c r="R342">
        <v>173.7</v>
      </c>
      <c r="S342">
        <v>160</v>
      </c>
      <c r="T342">
        <v>171.6</v>
      </c>
      <c r="U342">
        <v>169</v>
      </c>
      <c r="V342">
        <v>178.4</v>
      </c>
      <c r="W342">
        <v>164.2</v>
      </c>
      <c r="X342">
        <v>172.6</v>
      </c>
      <c r="Y342">
        <v>157.69999999999999</v>
      </c>
      <c r="Z342">
        <v>165.1</v>
      </c>
      <c r="AA342">
        <v>169.9</v>
      </c>
      <c r="AB342">
        <v>171.4</v>
      </c>
      <c r="AC342">
        <v>165.4</v>
      </c>
      <c r="AD342">
        <v>173.1</v>
      </c>
    </row>
    <row r="343" spans="1:30" x14ac:dyDescent="0.3">
      <c r="A343" t="s">
        <v>32</v>
      </c>
      <c r="B343">
        <v>2022</v>
      </c>
      <c r="C343" t="s">
        <v>39</v>
      </c>
      <c r="D343">
        <v>160.30000000000001</v>
      </c>
      <c r="E343">
        <v>206.5</v>
      </c>
      <c r="F343">
        <v>169.2</v>
      </c>
      <c r="G343">
        <v>168.1</v>
      </c>
      <c r="H343">
        <v>192.4</v>
      </c>
      <c r="I343">
        <v>172.9</v>
      </c>
      <c r="J343">
        <v>186.7</v>
      </c>
      <c r="K343">
        <v>167.2</v>
      </c>
      <c r="L343">
        <v>120.9</v>
      </c>
      <c r="M343">
        <v>193.6</v>
      </c>
      <c r="N343">
        <v>168.8</v>
      </c>
      <c r="O343">
        <v>186.3</v>
      </c>
      <c r="P343">
        <v>176.3</v>
      </c>
      <c r="Q343">
        <v>195</v>
      </c>
      <c r="R343">
        <v>179.5</v>
      </c>
      <c r="S343">
        <v>172.7</v>
      </c>
      <c r="T343">
        <v>178.5</v>
      </c>
      <c r="U343">
        <v>169</v>
      </c>
      <c r="V343">
        <v>178.8</v>
      </c>
      <c r="W343">
        <v>168.5</v>
      </c>
      <c r="X343">
        <v>176.8</v>
      </c>
      <c r="Y343">
        <v>161.9</v>
      </c>
      <c r="Z343">
        <v>166.9</v>
      </c>
      <c r="AA343">
        <v>172.3</v>
      </c>
      <c r="AB343">
        <v>171.2</v>
      </c>
      <c r="AC343">
        <v>169.1</v>
      </c>
      <c r="AD343">
        <v>174.3</v>
      </c>
    </row>
    <row r="344" spans="1:30" x14ac:dyDescent="0.3">
      <c r="A344" t="s">
        <v>28</v>
      </c>
      <c r="B344">
        <v>2022</v>
      </c>
      <c r="C344" t="s">
        <v>40</v>
      </c>
      <c r="D344">
        <v>162.9</v>
      </c>
      <c r="E344">
        <v>206.7</v>
      </c>
      <c r="F344">
        <v>169</v>
      </c>
      <c r="G344">
        <v>169.5</v>
      </c>
      <c r="H344">
        <v>194.1</v>
      </c>
      <c r="I344">
        <v>164.1</v>
      </c>
      <c r="J344">
        <v>176.9</v>
      </c>
      <c r="K344">
        <v>169</v>
      </c>
      <c r="L344">
        <v>120.8</v>
      </c>
      <c r="M344">
        <v>199.1</v>
      </c>
      <c r="N344">
        <v>175.4</v>
      </c>
      <c r="O344">
        <v>184.8</v>
      </c>
      <c r="P344">
        <v>175.5</v>
      </c>
      <c r="Q344">
        <v>194.5</v>
      </c>
      <c r="R344">
        <v>184.7</v>
      </c>
      <c r="S344">
        <v>183.3</v>
      </c>
      <c r="T344">
        <v>184.5</v>
      </c>
      <c r="U344" t="s">
        <v>30</v>
      </c>
      <c r="V344">
        <v>179.7</v>
      </c>
      <c r="W344">
        <v>173.6</v>
      </c>
      <c r="X344">
        <v>180.2</v>
      </c>
      <c r="Y344">
        <v>166.9</v>
      </c>
      <c r="Z344">
        <v>170</v>
      </c>
      <c r="AA344">
        <v>176.2</v>
      </c>
      <c r="AB344">
        <v>170.8</v>
      </c>
      <c r="AC344">
        <v>173.1</v>
      </c>
      <c r="AD344">
        <v>176.4</v>
      </c>
    </row>
    <row r="345" spans="1:30" x14ac:dyDescent="0.3">
      <c r="A345" t="s">
        <v>31</v>
      </c>
      <c r="B345">
        <v>2022</v>
      </c>
      <c r="C345" t="s">
        <v>40</v>
      </c>
      <c r="D345">
        <v>164.9</v>
      </c>
      <c r="E345">
        <v>213.7</v>
      </c>
      <c r="F345">
        <v>170.9</v>
      </c>
      <c r="G345">
        <v>170.1</v>
      </c>
      <c r="H345">
        <v>179.3</v>
      </c>
      <c r="I345">
        <v>167.5</v>
      </c>
      <c r="J345">
        <v>220.8</v>
      </c>
      <c r="K345">
        <v>169.2</v>
      </c>
      <c r="L345">
        <v>123.1</v>
      </c>
      <c r="M345">
        <v>193.6</v>
      </c>
      <c r="N345">
        <v>161.1</v>
      </c>
      <c r="O345">
        <v>190.4</v>
      </c>
      <c r="P345">
        <v>181.8</v>
      </c>
      <c r="Q345">
        <v>199.7</v>
      </c>
      <c r="R345">
        <v>175</v>
      </c>
      <c r="S345">
        <v>161.69999999999999</v>
      </c>
      <c r="T345">
        <v>173</v>
      </c>
      <c r="U345">
        <v>169.5</v>
      </c>
      <c r="V345">
        <v>179.2</v>
      </c>
      <c r="W345">
        <v>165</v>
      </c>
      <c r="X345">
        <v>173.8</v>
      </c>
      <c r="Y345">
        <v>158.19999999999999</v>
      </c>
      <c r="Z345">
        <v>165.8</v>
      </c>
      <c r="AA345">
        <v>170.9</v>
      </c>
      <c r="AB345">
        <v>171.1</v>
      </c>
      <c r="AC345">
        <v>166.1</v>
      </c>
      <c r="AD345">
        <v>174.1</v>
      </c>
    </row>
    <row r="346" spans="1:30" x14ac:dyDescent="0.3">
      <c r="A346" t="s">
        <v>32</v>
      </c>
      <c r="B346">
        <v>2022</v>
      </c>
      <c r="C346" t="s">
        <v>40</v>
      </c>
      <c r="D346">
        <v>163.5</v>
      </c>
      <c r="E346">
        <v>209.2</v>
      </c>
      <c r="F346">
        <v>169.7</v>
      </c>
      <c r="G346">
        <v>169.7</v>
      </c>
      <c r="H346">
        <v>188.7</v>
      </c>
      <c r="I346">
        <v>165.7</v>
      </c>
      <c r="J346">
        <v>191.8</v>
      </c>
      <c r="K346">
        <v>169.1</v>
      </c>
      <c r="L346">
        <v>121.6</v>
      </c>
      <c r="M346">
        <v>197.3</v>
      </c>
      <c r="N346">
        <v>169.4</v>
      </c>
      <c r="O346">
        <v>187.4</v>
      </c>
      <c r="P346">
        <v>177.8</v>
      </c>
      <c r="Q346">
        <v>195.9</v>
      </c>
      <c r="R346">
        <v>180.9</v>
      </c>
      <c r="S346">
        <v>174.3</v>
      </c>
      <c r="T346">
        <v>179.9</v>
      </c>
      <c r="U346">
        <v>169.5</v>
      </c>
      <c r="V346">
        <v>179.5</v>
      </c>
      <c r="W346">
        <v>169.5</v>
      </c>
      <c r="X346">
        <v>177.8</v>
      </c>
      <c r="Y346">
        <v>162.30000000000001</v>
      </c>
      <c r="Z346">
        <v>167.6</v>
      </c>
      <c r="AA346">
        <v>173.1</v>
      </c>
      <c r="AB346">
        <v>170.9</v>
      </c>
      <c r="AC346">
        <v>169.7</v>
      </c>
      <c r="AD346">
        <v>175.3</v>
      </c>
    </row>
    <row r="347" spans="1:30" x14ac:dyDescent="0.3">
      <c r="A347" t="s">
        <v>28</v>
      </c>
      <c r="B347">
        <v>2022</v>
      </c>
      <c r="C347" t="s">
        <v>41</v>
      </c>
      <c r="D347">
        <v>164.7</v>
      </c>
      <c r="E347">
        <v>208.8</v>
      </c>
      <c r="F347">
        <v>170.3</v>
      </c>
      <c r="G347">
        <v>170.9</v>
      </c>
      <c r="H347">
        <v>191.6</v>
      </c>
      <c r="I347">
        <v>162.19999999999999</v>
      </c>
      <c r="J347">
        <v>184.8</v>
      </c>
      <c r="K347">
        <v>169.7</v>
      </c>
      <c r="L347">
        <v>121.1</v>
      </c>
      <c r="M347">
        <v>201.6</v>
      </c>
      <c r="N347">
        <v>175.8</v>
      </c>
      <c r="O347">
        <v>185.6</v>
      </c>
      <c r="P347">
        <v>177.4</v>
      </c>
      <c r="Q347">
        <v>194.9</v>
      </c>
      <c r="R347">
        <v>186.1</v>
      </c>
      <c r="S347">
        <v>184.4</v>
      </c>
      <c r="T347">
        <v>185.9</v>
      </c>
      <c r="U347" t="s">
        <v>30</v>
      </c>
      <c r="V347">
        <v>180.8</v>
      </c>
      <c r="W347">
        <v>174.4</v>
      </c>
      <c r="X347">
        <v>181.2</v>
      </c>
      <c r="Y347">
        <v>167.4</v>
      </c>
      <c r="Z347">
        <v>170.6</v>
      </c>
      <c r="AA347">
        <v>176.5</v>
      </c>
      <c r="AB347">
        <v>172</v>
      </c>
      <c r="AC347">
        <v>173.9</v>
      </c>
      <c r="AD347">
        <v>177.9</v>
      </c>
    </row>
    <row r="348" spans="1:30" x14ac:dyDescent="0.3">
      <c r="A348" t="s">
        <v>31</v>
      </c>
      <c r="B348">
        <v>2022</v>
      </c>
      <c r="C348" t="s">
        <v>41</v>
      </c>
      <c r="D348">
        <v>166.4</v>
      </c>
      <c r="E348">
        <v>214.9</v>
      </c>
      <c r="F348">
        <v>171.9</v>
      </c>
      <c r="G348">
        <v>171</v>
      </c>
      <c r="H348">
        <v>177.7</v>
      </c>
      <c r="I348">
        <v>165.7</v>
      </c>
      <c r="J348">
        <v>228.6</v>
      </c>
      <c r="K348">
        <v>169.9</v>
      </c>
      <c r="L348">
        <v>123.4</v>
      </c>
      <c r="M348">
        <v>196.4</v>
      </c>
      <c r="N348">
        <v>161.6</v>
      </c>
      <c r="O348">
        <v>191.5</v>
      </c>
      <c r="P348">
        <v>183.3</v>
      </c>
      <c r="Q348">
        <v>200.1</v>
      </c>
      <c r="R348">
        <v>175.5</v>
      </c>
      <c r="S348">
        <v>162.6</v>
      </c>
      <c r="T348">
        <v>173.6</v>
      </c>
      <c r="U348">
        <v>171.2</v>
      </c>
      <c r="V348">
        <v>180</v>
      </c>
      <c r="W348">
        <v>166</v>
      </c>
      <c r="X348">
        <v>174.7</v>
      </c>
      <c r="Y348">
        <v>158.80000000000001</v>
      </c>
      <c r="Z348">
        <v>166.3</v>
      </c>
      <c r="AA348">
        <v>171.2</v>
      </c>
      <c r="AB348">
        <v>172.3</v>
      </c>
      <c r="AC348">
        <v>166.8</v>
      </c>
      <c r="AD348">
        <v>175.3</v>
      </c>
    </row>
    <row r="349" spans="1:30" x14ac:dyDescent="0.3">
      <c r="A349" t="s">
        <v>32</v>
      </c>
      <c r="B349">
        <v>2022</v>
      </c>
      <c r="C349" t="s">
        <v>41</v>
      </c>
      <c r="D349">
        <v>165.2</v>
      </c>
      <c r="E349">
        <v>210.9</v>
      </c>
      <c r="F349">
        <v>170.9</v>
      </c>
      <c r="G349">
        <v>170.9</v>
      </c>
      <c r="H349">
        <v>186.5</v>
      </c>
      <c r="I349">
        <v>163.80000000000001</v>
      </c>
      <c r="J349">
        <v>199.7</v>
      </c>
      <c r="K349">
        <v>169.8</v>
      </c>
      <c r="L349">
        <v>121.9</v>
      </c>
      <c r="M349">
        <v>199.9</v>
      </c>
      <c r="N349">
        <v>169.9</v>
      </c>
      <c r="O349">
        <v>188.3</v>
      </c>
      <c r="P349">
        <v>179.6</v>
      </c>
      <c r="Q349">
        <v>196.3</v>
      </c>
      <c r="R349">
        <v>181.9</v>
      </c>
      <c r="S349">
        <v>175.3</v>
      </c>
      <c r="T349">
        <v>181</v>
      </c>
      <c r="U349">
        <v>171.2</v>
      </c>
      <c r="V349">
        <v>180.5</v>
      </c>
      <c r="W349">
        <v>170.4</v>
      </c>
      <c r="X349">
        <v>178.7</v>
      </c>
      <c r="Y349">
        <v>162.9</v>
      </c>
      <c r="Z349">
        <v>168.2</v>
      </c>
      <c r="AA349">
        <v>173.4</v>
      </c>
      <c r="AB349">
        <v>172.1</v>
      </c>
      <c r="AC349">
        <v>170.5</v>
      </c>
      <c r="AD349">
        <v>176.7</v>
      </c>
    </row>
    <row r="350" spans="1:30" x14ac:dyDescent="0.3">
      <c r="A350" t="s">
        <v>28</v>
      </c>
      <c r="B350">
        <v>2022</v>
      </c>
      <c r="C350" t="s">
        <v>43</v>
      </c>
      <c r="D350">
        <v>166.9</v>
      </c>
      <c r="E350">
        <v>207.2</v>
      </c>
      <c r="F350">
        <v>180.2</v>
      </c>
      <c r="G350">
        <v>172.3</v>
      </c>
      <c r="H350">
        <v>194</v>
      </c>
      <c r="I350">
        <v>159.1</v>
      </c>
      <c r="J350">
        <v>171.6</v>
      </c>
      <c r="K350">
        <v>170.2</v>
      </c>
      <c r="L350">
        <v>121.5</v>
      </c>
      <c r="M350">
        <v>204.8</v>
      </c>
      <c r="N350">
        <v>176.4</v>
      </c>
      <c r="O350">
        <v>186.9</v>
      </c>
      <c r="P350">
        <v>176.6</v>
      </c>
      <c r="Q350">
        <v>195.5</v>
      </c>
      <c r="R350">
        <v>187.2</v>
      </c>
      <c r="S350">
        <v>185.2</v>
      </c>
      <c r="T350">
        <v>186.9</v>
      </c>
      <c r="U350" t="s">
        <v>30</v>
      </c>
      <c r="V350">
        <v>181.9</v>
      </c>
      <c r="W350">
        <v>175.5</v>
      </c>
      <c r="X350">
        <v>182.3</v>
      </c>
      <c r="Y350">
        <v>167.5</v>
      </c>
      <c r="Z350">
        <v>170.8</v>
      </c>
      <c r="AA350">
        <v>176.9</v>
      </c>
      <c r="AB350">
        <v>173.4</v>
      </c>
      <c r="AC350">
        <v>174.6</v>
      </c>
      <c r="AD350">
        <v>177.8</v>
      </c>
    </row>
    <row r="351" spans="1:30" x14ac:dyDescent="0.3">
      <c r="A351" t="s">
        <v>31</v>
      </c>
      <c r="B351">
        <v>2022</v>
      </c>
      <c r="C351" t="s">
        <v>43</v>
      </c>
      <c r="D351">
        <v>168.4</v>
      </c>
      <c r="E351">
        <v>213.4</v>
      </c>
      <c r="F351">
        <v>183.2</v>
      </c>
      <c r="G351">
        <v>172.3</v>
      </c>
      <c r="H351">
        <v>180</v>
      </c>
      <c r="I351">
        <v>162.6</v>
      </c>
      <c r="J351">
        <v>205.5</v>
      </c>
      <c r="K351">
        <v>171</v>
      </c>
      <c r="L351">
        <v>123.4</v>
      </c>
      <c r="M351">
        <v>198.8</v>
      </c>
      <c r="N351">
        <v>162.1</v>
      </c>
      <c r="O351">
        <v>192.4</v>
      </c>
      <c r="P351">
        <v>181.3</v>
      </c>
      <c r="Q351">
        <v>200.6</v>
      </c>
      <c r="R351">
        <v>176.7</v>
      </c>
      <c r="S351">
        <v>163.5</v>
      </c>
      <c r="T351">
        <v>174.7</v>
      </c>
      <c r="U351">
        <v>171.8</v>
      </c>
      <c r="V351">
        <v>180.3</v>
      </c>
      <c r="W351">
        <v>166.9</v>
      </c>
      <c r="X351">
        <v>175.8</v>
      </c>
      <c r="Y351">
        <v>158.9</v>
      </c>
      <c r="Z351">
        <v>166.7</v>
      </c>
      <c r="AA351">
        <v>171.5</v>
      </c>
      <c r="AB351">
        <v>173.8</v>
      </c>
      <c r="AC351">
        <v>167.4</v>
      </c>
      <c r="AD351">
        <v>174.1</v>
      </c>
    </row>
    <row r="352" spans="1:30" x14ac:dyDescent="0.3">
      <c r="A352" t="s">
        <v>32</v>
      </c>
      <c r="B352">
        <v>2022</v>
      </c>
      <c r="C352" t="s">
        <v>43</v>
      </c>
      <c r="D352">
        <v>167.4</v>
      </c>
      <c r="E352">
        <v>209.4</v>
      </c>
      <c r="F352">
        <v>181.4</v>
      </c>
      <c r="G352">
        <v>172.3</v>
      </c>
      <c r="H352">
        <v>188.9</v>
      </c>
      <c r="I352">
        <v>160.69999999999999</v>
      </c>
      <c r="J352">
        <v>183.1</v>
      </c>
      <c r="K352">
        <v>170.5</v>
      </c>
      <c r="L352">
        <v>122.1</v>
      </c>
      <c r="M352">
        <v>202.8</v>
      </c>
      <c r="N352">
        <v>170.4</v>
      </c>
      <c r="O352">
        <v>189.5</v>
      </c>
      <c r="P352">
        <v>178.3</v>
      </c>
      <c r="Q352">
        <v>196.9</v>
      </c>
      <c r="R352">
        <v>183.1</v>
      </c>
      <c r="S352">
        <v>176.2</v>
      </c>
      <c r="T352">
        <v>182.1</v>
      </c>
      <c r="U352">
        <v>171.8</v>
      </c>
      <c r="V352">
        <v>181.3</v>
      </c>
      <c r="W352">
        <v>171.4</v>
      </c>
      <c r="X352">
        <v>179.8</v>
      </c>
      <c r="Y352">
        <v>163</v>
      </c>
      <c r="Z352">
        <v>168.5</v>
      </c>
      <c r="AA352">
        <v>173.7</v>
      </c>
      <c r="AB352">
        <v>173.6</v>
      </c>
      <c r="AC352">
        <v>171.1</v>
      </c>
      <c r="AD352">
        <v>176.5</v>
      </c>
    </row>
    <row r="353" spans="1:30" x14ac:dyDescent="0.3">
      <c r="A353" t="s">
        <v>28</v>
      </c>
      <c r="B353">
        <v>2022</v>
      </c>
      <c r="C353" t="s">
        <v>44</v>
      </c>
      <c r="D353">
        <v>168.8</v>
      </c>
      <c r="E353">
        <v>206.9</v>
      </c>
      <c r="F353">
        <v>189.1</v>
      </c>
      <c r="G353">
        <v>173.4</v>
      </c>
      <c r="H353">
        <v>193.9</v>
      </c>
      <c r="I353">
        <v>156.69999999999999</v>
      </c>
      <c r="J353">
        <v>150.19999999999999</v>
      </c>
      <c r="K353">
        <v>170.5</v>
      </c>
      <c r="L353">
        <v>121.2</v>
      </c>
      <c r="M353">
        <v>207.5</v>
      </c>
      <c r="N353">
        <v>176.8</v>
      </c>
      <c r="O353">
        <v>187.7</v>
      </c>
      <c r="P353">
        <v>174.4</v>
      </c>
      <c r="Q353">
        <v>195.9</v>
      </c>
      <c r="R353">
        <v>188.1</v>
      </c>
      <c r="S353">
        <v>185.9</v>
      </c>
      <c r="T353">
        <v>187.8</v>
      </c>
      <c r="U353" t="s">
        <v>30</v>
      </c>
      <c r="V353">
        <v>182.8</v>
      </c>
      <c r="W353">
        <v>176.4</v>
      </c>
      <c r="X353">
        <v>183.5</v>
      </c>
      <c r="Y353">
        <v>167.8</v>
      </c>
      <c r="Z353">
        <v>171.2</v>
      </c>
      <c r="AA353">
        <v>177.3</v>
      </c>
      <c r="AB353">
        <v>175.7</v>
      </c>
      <c r="AC353">
        <v>175.5</v>
      </c>
      <c r="AD353">
        <v>177.1</v>
      </c>
    </row>
    <row r="354" spans="1:30" x14ac:dyDescent="0.3">
      <c r="A354" t="s">
        <v>31</v>
      </c>
      <c r="B354">
        <v>2022</v>
      </c>
      <c r="C354" t="s">
        <v>44</v>
      </c>
      <c r="D354">
        <v>170.2</v>
      </c>
      <c r="E354">
        <v>212.9</v>
      </c>
      <c r="F354">
        <v>191.9</v>
      </c>
      <c r="G354">
        <v>173.9</v>
      </c>
      <c r="H354">
        <v>179.1</v>
      </c>
      <c r="I354">
        <v>159.5</v>
      </c>
      <c r="J354">
        <v>178.7</v>
      </c>
      <c r="K354">
        <v>171.3</v>
      </c>
      <c r="L354">
        <v>123.1</v>
      </c>
      <c r="M354">
        <v>200.5</v>
      </c>
      <c r="N354">
        <v>162.80000000000001</v>
      </c>
      <c r="O354">
        <v>193.3</v>
      </c>
      <c r="P354">
        <v>178.6</v>
      </c>
      <c r="Q354">
        <v>201.1</v>
      </c>
      <c r="R354">
        <v>177.7</v>
      </c>
      <c r="S354">
        <v>164.5</v>
      </c>
      <c r="T354">
        <v>175.7</v>
      </c>
      <c r="U354">
        <v>170.7</v>
      </c>
      <c r="V354">
        <v>180.6</v>
      </c>
      <c r="W354">
        <v>167.3</v>
      </c>
      <c r="X354">
        <v>177.2</v>
      </c>
      <c r="Y354">
        <v>159.4</v>
      </c>
      <c r="Z354">
        <v>167.1</v>
      </c>
      <c r="AA354">
        <v>171.8</v>
      </c>
      <c r="AB354">
        <v>176</v>
      </c>
      <c r="AC354">
        <v>168.2</v>
      </c>
      <c r="AD354">
        <v>174.1</v>
      </c>
    </row>
    <row r="355" spans="1:30" x14ac:dyDescent="0.3">
      <c r="A355" t="s">
        <v>32</v>
      </c>
      <c r="B355">
        <v>2022</v>
      </c>
      <c r="C355" t="s">
        <v>44</v>
      </c>
      <c r="D355">
        <v>169.2</v>
      </c>
      <c r="E355">
        <v>209</v>
      </c>
      <c r="F355">
        <v>190.2</v>
      </c>
      <c r="G355">
        <v>173.6</v>
      </c>
      <c r="H355">
        <v>188.5</v>
      </c>
      <c r="I355">
        <v>158</v>
      </c>
      <c r="J355">
        <v>159.9</v>
      </c>
      <c r="K355">
        <v>170.8</v>
      </c>
      <c r="L355">
        <v>121.8</v>
      </c>
      <c r="M355">
        <v>205.2</v>
      </c>
      <c r="N355">
        <v>171</v>
      </c>
      <c r="O355">
        <v>190.3</v>
      </c>
      <c r="P355">
        <v>175.9</v>
      </c>
      <c r="Q355">
        <v>197.3</v>
      </c>
      <c r="R355">
        <v>184</v>
      </c>
      <c r="S355">
        <v>177</v>
      </c>
      <c r="T355">
        <v>183</v>
      </c>
      <c r="U355">
        <v>170.7</v>
      </c>
      <c r="V355">
        <v>182</v>
      </c>
      <c r="W355">
        <v>172.1</v>
      </c>
      <c r="X355">
        <v>181.1</v>
      </c>
      <c r="Y355">
        <v>163.4</v>
      </c>
      <c r="Z355">
        <v>168.9</v>
      </c>
      <c r="AA355">
        <v>174.1</v>
      </c>
      <c r="AB355">
        <v>175.8</v>
      </c>
      <c r="AC355">
        <v>172</v>
      </c>
      <c r="AD355">
        <v>175.7</v>
      </c>
    </row>
    <row r="356" spans="1:30" x14ac:dyDescent="0.3">
      <c r="A356" t="s">
        <v>28</v>
      </c>
      <c r="B356">
        <v>2023</v>
      </c>
      <c r="C356" t="s">
        <v>29</v>
      </c>
      <c r="D356">
        <v>174</v>
      </c>
      <c r="E356">
        <v>208.3</v>
      </c>
      <c r="F356">
        <v>192.9</v>
      </c>
      <c r="G356">
        <v>174.3</v>
      </c>
      <c r="H356">
        <v>192.6</v>
      </c>
      <c r="I356">
        <v>156.30000000000001</v>
      </c>
      <c r="J356">
        <v>142.9</v>
      </c>
      <c r="K356">
        <v>170.7</v>
      </c>
      <c r="L356">
        <v>120.3</v>
      </c>
      <c r="M356">
        <v>210.5</v>
      </c>
      <c r="N356">
        <v>176.9</v>
      </c>
      <c r="O356">
        <v>188.5</v>
      </c>
      <c r="P356">
        <v>175</v>
      </c>
      <c r="Q356">
        <v>196.9</v>
      </c>
      <c r="R356">
        <v>189</v>
      </c>
      <c r="S356">
        <v>186.3</v>
      </c>
      <c r="T356">
        <v>188.6</v>
      </c>
      <c r="U356" t="s">
        <v>30</v>
      </c>
      <c r="V356">
        <v>183.2</v>
      </c>
      <c r="W356">
        <v>177.2</v>
      </c>
      <c r="X356">
        <v>184.7</v>
      </c>
      <c r="Y356">
        <v>168.2</v>
      </c>
      <c r="Z356">
        <v>171.8</v>
      </c>
      <c r="AA356">
        <v>177.8</v>
      </c>
      <c r="AB356">
        <v>178.4</v>
      </c>
      <c r="AC356">
        <v>176.5</v>
      </c>
      <c r="AD356">
        <v>177.8</v>
      </c>
    </row>
    <row r="357" spans="1:30" x14ac:dyDescent="0.3">
      <c r="A357" t="s">
        <v>31</v>
      </c>
      <c r="B357">
        <v>2023</v>
      </c>
      <c r="C357" t="s">
        <v>29</v>
      </c>
      <c r="D357">
        <v>173.3</v>
      </c>
      <c r="E357">
        <v>215.2</v>
      </c>
      <c r="F357">
        <v>197</v>
      </c>
      <c r="G357">
        <v>175.2</v>
      </c>
      <c r="H357">
        <v>178</v>
      </c>
      <c r="I357">
        <v>160.5</v>
      </c>
      <c r="J357">
        <v>175.3</v>
      </c>
      <c r="K357">
        <v>171.2</v>
      </c>
      <c r="L357">
        <v>122.7</v>
      </c>
      <c r="M357">
        <v>204.3</v>
      </c>
      <c r="N357">
        <v>163.69999999999999</v>
      </c>
      <c r="O357">
        <v>194.3</v>
      </c>
      <c r="P357">
        <v>179.5</v>
      </c>
      <c r="Q357">
        <v>201.6</v>
      </c>
      <c r="R357">
        <v>178.7</v>
      </c>
      <c r="S357">
        <v>165.3</v>
      </c>
      <c r="T357">
        <v>176.6</v>
      </c>
      <c r="U357">
        <v>172.1</v>
      </c>
      <c r="V357">
        <v>180.1</v>
      </c>
      <c r="W357">
        <v>168</v>
      </c>
      <c r="X357">
        <v>178.5</v>
      </c>
      <c r="Y357">
        <v>159.5</v>
      </c>
      <c r="Z357">
        <v>167.8</v>
      </c>
      <c r="AA357">
        <v>171.8</v>
      </c>
      <c r="AB357">
        <v>178.8</v>
      </c>
      <c r="AC357">
        <v>168.9</v>
      </c>
      <c r="AD357">
        <v>174.9</v>
      </c>
    </row>
    <row r="358" spans="1:30" x14ac:dyDescent="0.3">
      <c r="A358" t="s">
        <v>32</v>
      </c>
      <c r="B358">
        <v>2023</v>
      </c>
      <c r="C358" t="s">
        <v>29</v>
      </c>
      <c r="D358">
        <v>173.8</v>
      </c>
      <c r="E358">
        <v>210.7</v>
      </c>
      <c r="F358">
        <v>194.5</v>
      </c>
      <c r="G358">
        <v>174.6</v>
      </c>
      <c r="H358">
        <v>187.2</v>
      </c>
      <c r="I358">
        <v>158.30000000000001</v>
      </c>
      <c r="J358">
        <v>153.9</v>
      </c>
      <c r="K358">
        <v>170.9</v>
      </c>
      <c r="L358">
        <v>121.1</v>
      </c>
      <c r="M358">
        <v>208.4</v>
      </c>
      <c r="N358">
        <v>171.4</v>
      </c>
      <c r="O358">
        <v>191.2</v>
      </c>
      <c r="P358">
        <v>176.7</v>
      </c>
      <c r="Q358">
        <v>198.2</v>
      </c>
      <c r="R358">
        <v>184.9</v>
      </c>
      <c r="S358">
        <v>177.6</v>
      </c>
      <c r="T358">
        <v>183.8</v>
      </c>
      <c r="U358">
        <v>172.1</v>
      </c>
      <c r="V358">
        <v>182</v>
      </c>
      <c r="W358">
        <v>172.9</v>
      </c>
      <c r="X358">
        <v>182.3</v>
      </c>
      <c r="Y358">
        <v>163.6</v>
      </c>
      <c r="Z358">
        <v>169.5</v>
      </c>
      <c r="AA358">
        <v>174.3</v>
      </c>
      <c r="AB358">
        <v>178.6</v>
      </c>
      <c r="AC358">
        <v>172.8</v>
      </c>
      <c r="AD358">
        <v>176.5</v>
      </c>
    </row>
    <row r="359" spans="1:30" x14ac:dyDescent="0.3">
      <c r="A359" t="s">
        <v>28</v>
      </c>
      <c r="B359">
        <v>2023</v>
      </c>
      <c r="C359" t="s">
        <v>33</v>
      </c>
      <c r="D359">
        <v>174.2</v>
      </c>
      <c r="E359">
        <v>205.2</v>
      </c>
      <c r="F359">
        <v>173.9</v>
      </c>
      <c r="G359">
        <v>177</v>
      </c>
      <c r="H359">
        <v>183.4</v>
      </c>
      <c r="I359">
        <v>167.2</v>
      </c>
      <c r="J359">
        <v>140.9</v>
      </c>
      <c r="K359">
        <v>170.4</v>
      </c>
      <c r="L359">
        <v>119.1</v>
      </c>
      <c r="M359">
        <v>212.1</v>
      </c>
      <c r="N359">
        <v>177.6</v>
      </c>
      <c r="O359">
        <v>189.9</v>
      </c>
      <c r="P359">
        <v>174.8</v>
      </c>
      <c r="Q359">
        <v>198.3</v>
      </c>
      <c r="R359">
        <v>190</v>
      </c>
      <c r="S359">
        <v>187</v>
      </c>
      <c r="T359">
        <v>189.6</v>
      </c>
      <c r="U359" t="s">
        <v>30</v>
      </c>
      <c r="V359">
        <v>181.6</v>
      </c>
      <c r="W359">
        <v>178.6</v>
      </c>
      <c r="X359">
        <v>186.6</v>
      </c>
      <c r="Y359">
        <v>169</v>
      </c>
      <c r="Z359">
        <v>172.8</v>
      </c>
      <c r="AA359">
        <v>178.5</v>
      </c>
      <c r="AB359">
        <v>180.7</v>
      </c>
      <c r="AC359">
        <v>177.9</v>
      </c>
      <c r="AD359">
        <v>178</v>
      </c>
    </row>
    <row r="360" spans="1:30" x14ac:dyDescent="0.3">
      <c r="A360" t="s">
        <v>31</v>
      </c>
      <c r="B360">
        <v>2023</v>
      </c>
      <c r="C360" t="s">
        <v>33</v>
      </c>
      <c r="D360">
        <v>174.7</v>
      </c>
      <c r="E360">
        <v>212.2</v>
      </c>
      <c r="F360">
        <v>177.2</v>
      </c>
      <c r="G360">
        <v>177.9</v>
      </c>
      <c r="H360">
        <v>172.2</v>
      </c>
      <c r="I360">
        <v>172.1</v>
      </c>
      <c r="J360">
        <v>175.8</v>
      </c>
      <c r="K360">
        <v>172.2</v>
      </c>
      <c r="L360">
        <v>121.9</v>
      </c>
      <c r="M360">
        <v>204.8</v>
      </c>
      <c r="N360">
        <v>164.9</v>
      </c>
      <c r="O360">
        <v>196.6</v>
      </c>
      <c r="P360">
        <v>180.7</v>
      </c>
      <c r="Q360">
        <v>202.7</v>
      </c>
      <c r="R360">
        <v>180.3</v>
      </c>
      <c r="S360">
        <v>167</v>
      </c>
      <c r="T360">
        <v>178.2</v>
      </c>
      <c r="U360">
        <v>173.5</v>
      </c>
      <c r="V360">
        <v>182.8</v>
      </c>
      <c r="W360">
        <v>169.2</v>
      </c>
      <c r="X360">
        <v>180.8</v>
      </c>
      <c r="Y360">
        <v>159.80000000000001</v>
      </c>
      <c r="Z360">
        <v>168.4</v>
      </c>
      <c r="AA360">
        <v>172.5</v>
      </c>
      <c r="AB360">
        <v>181.4</v>
      </c>
      <c r="AC360">
        <v>170</v>
      </c>
      <c r="AD360">
        <v>176.3</v>
      </c>
    </row>
    <row r="361" spans="1:30" x14ac:dyDescent="0.3">
      <c r="A361" t="s">
        <v>32</v>
      </c>
      <c r="B361">
        <v>2023</v>
      </c>
      <c r="C361" t="s">
        <v>33</v>
      </c>
      <c r="D361">
        <v>174.4</v>
      </c>
      <c r="E361">
        <v>207.7</v>
      </c>
      <c r="F361">
        <v>175.2</v>
      </c>
      <c r="G361">
        <v>177.3</v>
      </c>
      <c r="H361">
        <v>179.3</v>
      </c>
      <c r="I361">
        <v>169.5</v>
      </c>
      <c r="J361">
        <v>152.69999999999999</v>
      </c>
      <c r="K361">
        <v>171</v>
      </c>
      <c r="L361">
        <v>120</v>
      </c>
      <c r="M361">
        <v>209.7</v>
      </c>
      <c r="N361">
        <v>172.3</v>
      </c>
      <c r="O361">
        <v>193</v>
      </c>
      <c r="P361">
        <v>177</v>
      </c>
      <c r="Q361">
        <v>199.5</v>
      </c>
      <c r="R361">
        <v>186.2</v>
      </c>
      <c r="S361">
        <v>178.7</v>
      </c>
      <c r="T361">
        <v>185.1</v>
      </c>
      <c r="U361">
        <v>173.5</v>
      </c>
      <c r="V361">
        <v>182.1</v>
      </c>
      <c r="W361">
        <v>174.2</v>
      </c>
      <c r="X361">
        <v>184.4</v>
      </c>
      <c r="Y361">
        <v>164.2</v>
      </c>
      <c r="Z361">
        <v>170.3</v>
      </c>
      <c r="AA361">
        <v>175</v>
      </c>
      <c r="AB361">
        <v>181</v>
      </c>
      <c r="AC361">
        <v>174.1</v>
      </c>
      <c r="AD361">
        <v>177.2</v>
      </c>
    </row>
    <row r="362" spans="1:30" x14ac:dyDescent="0.3">
      <c r="A362" t="s">
        <v>28</v>
      </c>
      <c r="B362">
        <v>2023</v>
      </c>
      <c r="C362" t="s">
        <v>34</v>
      </c>
      <c r="D362">
        <v>174.3</v>
      </c>
      <c r="E362">
        <v>205.2</v>
      </c>
      <c r="F362">
        <v>173.9</v>
      </c>
      <c r="G362">
        <v>177</v>
      </c>
      <c r="H362">
        <v>183.3</v>
      </c>
      <c r="I362">
        <v>167.2</v>
      </c>
      <c r="J362">
        <v>140.9</v>
      </c>
      <c r="K362">
        <v>170.5</v>
      </c>
      <c r="L362">
        <v>119.1</v>
      </c>
      <c r="M362">
        <v>212.1</v>
      </c>
      <c r="N362">
        <v>177.6</v>
      </c>
      <c r="O362">
        <v>189.9</v>
      </c>
      <c r="P362">
        <v>174.8</v>
      </c>
      <c r="Q362">
        <v>198.4</v>
      </c>
      <c r="R362">
        <v>190</v>
      </c>
      <c r="S362">
        <v>187</v>
      </c>
      <c r="T362">
        <v>189.6</v>
      </c>
      <c r="U362" t="s">
        <v>30</v>
      </c>
      <c r="V362">
        <v>181.4</v>
      </c>
      <c r="W362">
        <v>178.6</v>
      </c>
      <c r="X362">
        <v>186.6</v>
      </c>
      <c r="Y362">
        <v>169</v>
      </c>
      <c r="Z362">
        <v>172.8</v>
      </c>
      <c r="AA362">
        <v>178.5</v>
      </c>
      <c r="AB362">
        <v>180.7</v>
      </c>
      <c r="AC362">
        <v>177.9</v>
      </c>
      <c r="AD362">
        <v>178</v>
      </c>
    </row>
    <row r="363" spans="1:30" x14ac:dyDescent="0.3">
      <c r="A363" t="s">
        <v>31</v>
      </c>
      <c r="B363">
        <v>2023</v>
      </c>
      <c r="C363" t="s">
        <v>34</v>
      </c>
      <c r="D363">
        <v>174.7</v>
      </c>
      <c r="E363">
        <v>212.2</v>
      </c>
      <c r="F363">
        <v>177.2</v>
      </c>
      <c r="G363">
        <v>177.9</v>
      </c>
      <c r="H363">
        <v>172.2</v>
      </c>
      <c r="I363">
        <v>172.1</v>
      </c>
      <c r="J363">
        <v>175.9</v>
      </c>
      <c r="K363">
        <v>172.2</v>
      </c>
      <c r="L363">
        <v>121.9</v>
      </c>
      <c r="M363">
        <v>204.8</v>
      </c>
      <c r="N363">
        <v>164.9</v>
      </c>
      <c r="O363">
        <v>196.6</v>
      </c>
      <c r="P363">
        <v>180.8</v>
      </c>
      <c r="Q363">
        <v>202.7</v>
      </c>
      <c r="R363">
        <v>180.2</v>
      </c>
      <c r="S363">
        <v>167</v>
      </c>
      <c r="T363">
        <v>178.2</v>
      </c>
      <c r="U363">
        <v>173.5</v>
      </c>
      <c r="V363">
        <v>182.6</v>
      </c>
      <c r="W363">
        <v>169.2</v>
      </c>
      <c r="X363">
        <v>180.8</v>
      </c>
      <c r="Y363">
        <v>159.80000000000001</v>
      </c>
      <c r="Z363">
        <v>168.4</v>
      </c>
      <c r="AA363">
        <v>172.5</v>
      </c>
      <c r="AB363">
        <v>181.5</v>
      </c>
      <c r="AC363">
        <v>170</v>
      </c>
      <c r="AD363">
        <v>176.3</v>
      </c>
    </row>
    <row r="364" spans="1:30" x14ac:dyDescent="0.3">
      <c r="A364" t="s">
        <v>32</v>
      </c>
      <c r="B364">
        <v>2023</v>
      </c>
      <c r="C364" t="s">
        <v>34</v>
      </c>
      <c r="D364">
        <v>174.4</v>
      </c>
      <c r="E364">
        <v>207.7</v>
      </c>
      <c r="F364">
        <v>175.2</v>
      </c>
      <c r="G364">
        <v>177.3</v>
      </c>
      <c r="H364">
        <v>179.2</v>
      </c>
      <c r="I364">
        <v>169.5</v>
      </c>
      <c r="J364">
        <v>152.80000000000001</v>
      </c>
      <c r="K364">
        <v>171.1</v>
      </c>
      <c r="L364">
        <v>120</v>
      </c>
      <c r="M364">
        <v>209.7</v>
      </c>
      <c r="N364">
        <v>172.3</v>
      </c>
      <c r="O364">
        <v>193</v>
      </c>
      <c r="P364">
        <v>177</v>
      </c>
      <c r="Q364">
        <v>199.5</v>
      </c>
      <c r="R364">
        <v>186.1</v>
      </c>
      <c r="S364">
        <v>178.7</v>
      </c>
      <c r="T364">
        <v>185.1</v>
      </c>
      <c r="U364">
        <v>173.5</v>
      </c>
      <c r="V364">
        <v>181.9</v>
      </c>
      <c r="W364">
        <v>174.2</v>
      </c>
      <c r="X364">
        <v>184.4</v>
      </c>
      <c r="Y364">
        <v>164.2</v>
      </c>
      <c r="Z364">
        <v>170.3</v>
      </c>
      <c r="AA364">
        <v>175</v>
      </c>
      <c r="AB364">
        <v>181</v>
      </c>
      <c r="AC364">
        <v>174.1</v>
      </c>
      <c r="AD364">
        <v>177.2</v>
      </c>
    </row>
    <row r="365" spans="1:30" x14ac:dyDescent="0.3">
      <c r="A365" t="s">
        <v>28</v>
      </c>
      <c r="B365">
        <v>2023</v>
      </c>
      <c r="C365" t="s">
        <v>35</v>
      </c>
      <c r="D365">
        <v>173.3</v>
      </c>
      <c r="E365">
        <v>206.9</v>
      </c>
      <c r="F365">
        <v>167.9</v>
      </c>
      <c r="G365">
        <v>178.2</v>
      </c>
      <c r="H365">
        <v>178.5</v>
      </c>
      <c r="I365">
        <v>173.7</v>
      </c>
      <c r="J365">
        <v>142.80000000000001</v>
      </c>
      <c r="K365">
        <v>172.8</v>
      </c>
      <c r="L365">
        <v>120.4</v>
      </c>
      <c r="M365">
        <v>215.5</v>
      </c>
      <c r="N365">
        <v>178.2</v>
      </c>
      <c r="O365">
        <v>190.5</v>
      </c>
      <c r="P365">
        <v>175.5</v>
      </c>
      <c r="Q365">
        <v>199.5</v>
      </c>
      <c r="R365">
        <v>190.7</v>
      </c>
      <c r="S365">
        <v>187.3</v>
      </c>
      <c r="T365">
        <v>190.2</v>
      </c>
      <c r="U365" t="s">
        <v>30</v>
      </c>
      <c r="V365">
        <v>181.5</v>
      </c>
      <c r="W365">
        <v>179.1</v>
      </c>
      <c r="X365">
        <v>187.2</v>
      </c>
      <c r="Y365">
        <v>169.4</v>
      </c>
      <c r="Z365">
        <v>173.2</v>
      </c>
      <c r="AA365">
        <v>179.4</v>
      </c>
      <c r="AB365">
        <v>183.8</v>
      </c>
      <c r="AC365">
        <v>178.9</v>
      </c>
      <c r="AD365">
        <v>178.8</v>
      </c>
    </row>
    <row r="366" spans="1:30" x14ac:dyDescent="0.3">
      <c r="A366" t="s">
        <v>31</v>
      </c>
      <c r="B366">
        <v>2023</v>
      </c>
      <c r="C366" t="s">
        <v>35</v>
      </c>
      <c r="D366">
        <v>174.8</v>
      </c>
      <c r="E366">
        <v>213.7</v>
      </c>
      <c r="F366">
        <v>172.4</v>
      </c>
      <c r="G366">
        <v>178.8</v>
      </c>
      <c r="H366">
        <v>168.7</v>
      </c>
      <c r="I366">
        <v>179.2</v>
      </c>
      <c r="J366">
        <v>179.9</v>
      </c>
      <c r="K366">
        <v>174.7</v>
      </c>
      <c r="L366">
        <v>123.1</v>
      </c>
      <c r="M366">
        <v>207.8</v>
      </c>
      <c r="N366">
        <v>165.5</v>
      </c>
      <c r="O366">
        <v>197</v>
      </c>
      <c r="P366">
        <v>182.1</v>
      </c>
      <c r="Q366">
        <v>203.5</v>
      </c>
      <c r="R366">
        <v>181</v>
      </c>
      <c r="S366">
        <v>167.7</v>
      </c>
      <c r="T366">
        <v>178.9</v>
      </c>
      <c r="U366">
        <v>175.2</v>
      </c>
      <c r="V366">
        <v>182.1</v>
      </c>
      <c r="W366">
        <v>169.6</v>
      </c>
      <c r="X366">
        <v>181.5</v>
      </c>
      <c r="Y366">
        <v>160.1</v>
      </c>
      <c r="Z366">
        <v>168.8</v>
      </c>
      <c r="AA366">
        <v>174.2</v>
      </c>
      <c r="AB366">
        <v>184.4</v>
      </c>
      <c r="AC366">
        <v>170.9</v>
      </c>
      <c r="AD366">
        <v>177.4</v>
      </c>
    </row>
    <row r="367" spans="1:30" x14ac:dyDescent="0.3">
      <c r="A367" t="s">
        <v>32</v>
      </c>
      <c r="B367">
        <v>2023</v>
      </c>
      <c r="C367" t="s">
        <v>35</v>
      </c>
      <c r="D367">
        <v>173.8</v>
      </c>
      <c r="E367">
        <v>209.3</v>
      </c>
      <c r="F367">
        <v>169.6</v>
      </c>
      <c r="G367">
        <v>178.4</v>
      </c>
      <c r="H367">
        <v>174.9</v>
      </c>
      <c r="I367">
        <v>176.3</v>
      </c>
      <c r="J367">
        <v>155.4</v>
      </c>
      <c r="K367">
        <v>173.4</v>
      </c>
      <c r="L367">
        <v>121.3</v>
      </c>
      <c r="M367">
        <v>212.9</v>
      </c>
      <c r="N367">
        <v>172.9</v>
      </c>
      <c r="O367">
        <v>193.5</v>
      </c>
      <c r="P367">
        <v>177.9</v>
      </c>
      <c r="Q367">
        <v>200.6</v>
      </c>
      <c r="R367">
        <v>186.9</v>
      </c>
      <c r="S367">
        <v>179.2</v>
      </c>
      <c r="T367">
        <v>185.7</v>
      </c>
      <c r="U367">
        <v>175.2</v>
      </c>
      <c r="V367">
        <v>181.7</v>
      </c>
      <c r="W367">
        <v>174.6</v>
      </c>
      <c r="X367">
        <v>185</v>
      </c>
      <c r="Y367">
        <v>164.5</v>
      </c>
      <c r="Z367">
        <v>170.7</v>
      </c>
      <c r="AA367">
        <v>176.4</v>
      </c>
      <c r="AB367">
        <v>184</v>
      </c>
      <c r="AC367">
        <v>175</v>
      </c>
      <c r="AD367">
        <v>178.1</v>
      </c>
    </row>
    <row r="368" spans="1:30" x14ac:dyDescent="0.3">
      <c r="A368" t="s">
        <v>28</v>
      </c>
      <c r="B368">
        <v>2023</v>
      </c>
      <c r="C368" t="s">
        <v>36</v>
      </c>
      <c r="D368">
        <v>173.2</v>
      </c>
      <c r="E368">
        <v>211.5</v>
      </c>
      <c r="F368">
        <v>171</v>
      </c>
      <c r="G368">
        <v>179.6</v>
      </c>
      <c r="H368">
        <v>173.3</v>
      </c>
      <c r="I368">
        <v>169</v>
      </c>
      <c r="J368">
        <v>148.69999999999999</v>
      </c>
      <c r="K368">
        <v>174.9</v>
      </c>
      <c r="L368">
        <v>121.9</v>
      </c>
      <c r="M368">
        <v>221</v>
      </c>
      <c r="N368">
        <v>178.7</v>
      </c>
      <c r="O368">
        <v>191.1</v>
      </c>
      <c r="P368">
        <v>176.8</v>
      </c>
      <c r="Q368">
        <v>199.9</v>
      </c>
      <c r="R368">
        <v>191.2</v>
      </c>
      <c r="S368">
        <v>187.9</v>
      </c>
      <c r="T368">
        <v>190.8</v>
      </c>
      <c r="U368" t="s">
        <v>30</v>
      </c>
      <c r="V368">
        <v>182.5</v>
      </c>
      <c r="W368">
        <v>179.8</v>
      </c>
      <c r="X368">
        <v>187.8</v>
      </c>
      <c r="Y368">
        <v>169.7</v>
      </c>
      <c r="Z368">
        <v>173.8</v>
      </c>
      <c r="AA368">
        <v>180.3</v>
      </c>
      <c r="AB368">
        <v>184.9</v>
      </c>
      <c r="AC368">
        <v>179.5</v>
      </c>
      <c r="AD368">
        <v>179.8</v>
      </c>
    </row>
    <row r="369" spans="1:30" x14ac:dyDescent="0.3">
      <c r="A369" t="s">
        <v>31</v>
      </c>
      <c r="B369">
        <v>2023</v>
      </c>
      <c r="C369" t="s">
        <v>36</v>
      </c>
      <c r="D369">
        <v>174.7</v>
      </c>
      <c r="E369">
        <v>219.4</v>
      </c>
      <c r="F369">
        <v>176.7</v>
      </c>
      <c r="G369">
        <v>179.4</v>
      </c>
      <c r="H369">
        <v>164.4</v>
      </c>
      <c r="I369">
        <v>175.8</v>
      </c>
      <c r="J369">
        <v>185</v>
      </c>
      <c r="K369">
        <v>176.9</v>
      </c>
      <c r="L369">
        <v>124.2</v>
      </c>
      <c r="M369">
        <v>211.9</v>
      </c>
      <c r="N369">
        <v>165.9</v>
      </c>
      <c r="O369">
        <v>197.7</v>
      </c>
      <c r="P369">
        <v>183.1</v>
      </c>
      <c r="Q369">
        <v>204.2</v>
      </c>
      <c r="R369">
        <v>181.3</v>
      </c>
      <c r="S369">
        <v>168.1</v>
      </c>
      <c r="T369">
        <v>179.3</v>
      </c>
      <c r="U369">
        <v>175.6</v>
      </c>
      <c r="V369">
        <v>183.4</v>
      </c>
      <c r="W369">
        <v>170.1</v>
      </c>
      <c r="X369">
        <v>182.2</v>
      </c>
      <c r="Y369">
        <v>160.4</v>
      </c>
      <c r="Z369">
        <v>169.2</v>
      </c>
      <c r="AA369">
        <v>174.8</v>
      </c>
      <c r="AB369">
        <v>185.6</v>
      </c>
      <c r="AC369">
        <v>171.6</v>
      </c>
      <c r="AD369">
        <v>178.2</v>
      </c>
    </row>
    <row r="370" spans="1:30" x14ac:dyDescent="0.3">
      <c r="A370" t="s">
        <v>32</v>
      </c>
      <c r="B370">
        <v>2023</v>
      </c>
      <c r="C370" t="s">
        <v>36</v>
      </c>
      <c r="D370">
        <v>173.7</v>
      </c>
      <c r="E370">
        <v>214.3</v>
      </c>
      <c r="F370">
        <v>173.2</v>
      </c>
      <c r="G370">
        <v>179.5</v>
      </c>
      <c r="H370">
        <v>170</v>
      </c>
      <c r="I370">
        <v>172.2</v>
      </c>
      <c r="J370">
        <v>161</v>
      </c>
      <c r="K370">
        <v>175.6</v>
      </c>
      <c r="L370">
        <v>122.7</v>
      </c>
      <c r="M370">
        <v>218</v>
      </c>
      <c r="N370">
        <v>173.4</v>
      </c>
      <c r="O370">
        <v>194.2</v>
      </c>
      <c r="P370">
        <v>179.1</v>
      </c>
      <c r="Q370">
        <v>201</v>
      </c>
      <c r="R370">
        <v>187.3</v>
      </c>
      <c r="S370">
        <v>179.7</v>
      </c>
      <c r="T370">
        <v>186.2</v>
      </c>
      <c r="U370">
        <v>175.6</v>
      </c>
      <c r="V370">
        <v>182.8</v>
      </c>
      <c r="W370">
        <v>175.2</v>
      </c>
      <c r="X370">
        <v>185.7</v>
      </c>
      <c r="Y370">
        <v>164.8</v>
      </c>
      <c r="Z370">
        <v>171.2</v>
      </c>
      <c r="AA370">
        <v>177.1</v>
      </c>
      <c r="AB370">
        <v>185.2</v>
      </c>
      <c r="AC370">
        <v>175.7</v>
      </c>
      <c r="AD370">
        <v>179.1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DD2E0-3420-4046-8BA3-D99D33C544D0}">
  <sheetPr>
    <pageSetUpPr autoPageBreaks="0"/>
  </sheetPr>
  <dimension ref="A1:U97"/>
  <sheetViews>
    <sheetView zoomScale="80" zoomScaleNormal="80" workbookViewId="0">
      <selection activeCell="I25" sqref="I25:Q25"/>
    </sheetView>
  </sheetViews>
  <sheetFormatPr defaultRowHeight="14.4" x14ac:dyDescent="0.3"/>
  <cols>
    <col min="2" max="2" width="17.109375" customWidth="1"/>
    <col min="3" max="3" width="30.77734375" bestFit="1" customWidth="1"/>
    <col min="4" max="4" width="12.77734375" customWidth="1"/>
    <col min="8" max="8" width="13.6640625" customWidth="1"/>
    <col min="11" max="11" width="8.88671875" customWidth="1"/>
  </cols>
  <sheetData>
    <row r="1" spans="1:11" ht="14.4" customHeight="1" x14ac:dyDescent="0.3">
      <c r="A1" s="67" t="s">
        <v>55</v>
      </c>
      <c r="B1" s="67"/>
      <c r="C1" s="67"/>
      <c r="D1" s="67"/>
      <c r="E1" s="67"/>
      <c r="F1" s="67"/>
      <c r="G1" s="67"/>
      <c r="H1" s="67"/>
      <c r="I1" s="7"/>
      <c r="J1" s="7"/>
      <c r="K1" s="7"/>
    </row>
    <row r="2" spans="1:11" ht="14.4" customHeight="1" x14ac:dyDescent="0.3">
      <c r="A2" s="67"/>
      <c r="B2" s="67"/>
      <c r="C2" s="67"/>
      <c r="D2" s="67"/>
      <c r="E2" s="67"/>
      <c r="F2" s="67"/>
      <c r="G2" s="67"/>
      <c r="H2" s="67"/>
      <c r="I2" s="7"/>
      <c r="J2" s="7"/>
      <c r="K2" s="7"/>
    </row>
    <row r="3" spans="1:11" ht="14.4" customHeight="1" x14ac:dyDescent="0.3">
      <c r="A3" s="68"/>
      <c r="B3" s="68"/>
      <c r="C3" s="68"/>
      <c r="D3" s="68"/>
      <c r="E3" s="68"/>
      <c r="F3" s="68"/>
      <c r="G3" s="68"/>
      <c r="H3" s="68"/>
      <c r="I3" s="7"/>
      <c r="J3" s="7"/>
      <c r="K3" s="7"/>
    </row>
    <row r="4" spans="1:11" ht="16.2" customHeight="1" x14ac:dyDescent="0.3">
      <c r="A4" s="66" t="s">
        <v>60</v>
      </c>
      <c r="B4" s="66"/>
      <c r="C4" s="8" t="s">
        <v>61</v>
      </c>
      <c r="D4" s="8" t="s">
        <v>62</v>
      </c>
      <c r="E4" s="66" t="s">
        <v>63</v>
      </c>
      <c r="F4" s="66"/>
      <c r="G4" s="66" t="s">
        <v>64</v>
      </c>
      <c r="H4" s="66"/>
      <c r="I4" s="6"/>
      <c r="J4" s="6"/>
      <c r="K4" s="6"/>
    </row>
    <row r="5" spans="1:11" x14ac:dyDescent="0.3">
      <c r="A5" s="71" t="s">
        <v>14</v>
      </c>
      <c r="B5" s="71"/>
      <c r="C5" s="9" t="s">
        <v>3</v>
      </c>
      <c r="D5" s="9">
        <v>173.2</v>
      </c>
      <c r="E5" s="71">
        <v>2290.6999999999998</v>
      </c>
      <c r="F5" s="71"/>
      <c r="G5" s="76">
        <f>E5/SUM(E5:F30)*100</f>
        <v>50.918022583800116</v>
      </c>
      <c r="H5" s="76"/>
      <c r="J5" s="4">
        <v>50.918022583800116</v>
      </c>
      <c r="K5" t="s">
        <v>14</v>
      </c>
    </row>
    <row r="6" spans="1:11" x14ac:dyDescent="0.3">
      <c r="A6" s="71"/>
      <c r="B6" s="71"/>
      <c r="C6" s="9" t="s">
        <v>4</v>
      </c>
      <c r="D6" s="9">
        <v>211.5</v>
      </c>
      <c r="E6" s="71"/>
      <c r="F6" s="71"/>
      <c r="G6" s="76"/>
      <c r="H6" s="76"/>
      <c r="J6" s="4">
        <v>4.4434071307904333</v>
      </c>
      <c r="K6" t="s">
        <v>15</v>
      </c>
    </row>
    <row r="7" spans="1:11" x14ac:dyDescent="0.3">
      <c r="A7" s="71"/>
      <c r="B7" s="71"/>
      <c r="C7" s="9" t="s">
        <v>5</v>
      </c>
      <c r="D7" s="9">
        <v>171</v>
      </c>
      <c r="E7" s="71"/>
      <c r="F7" s="71"/>
      <c r="G7" s="76"/>
      <c r="H7" s="76"/>
      <c r="J7" s="4">
        <v>12.667822530452563</v>
      </c>
      <c r="K7" t="s">
        <v>18</v>
      </c>
    </row>
    <row r="8" spans="1:11" x14ac:dyDescent="0.3">
      <c r="A8" s="71"/>
      <c r="B8" s="71"/>
      <c r="C8" s="9" t="s">
        <v>6</v>
      </c>
      <c r="D8" s="9">
        <v>179.6</v>
      </c>
      <c r="E8" s="71"/>
      <c r="F8" s="71"/>
      <c r="G8" s="76"/>
      <c r="H8" s="76"/>
      <c r="J8" s="4">
        <v>4.0566373255090244</v>
      </c>
      <c r="K8" t="s">
        <v>20</v>
      </c>
    </row>
    <row r="9" spans="1:11" x14ac:dyDescent="0.3">
      <c r="A9" s="71"/>
      <c r="B9" s="71"/>
      <c r="C9" s="9" t="s">
        <v>7</v>
      </c>
      <c r="D9" s="9">
        <v>173.3</v>
      </c>
      <c r="E9" s="71"/>
      <c r="F9" s="71"/>
      <c r="G9" s="76"/>
      <c r="H9" s="76"/>
      <c r="J9" s="4">
        <v>3.99662132124122</v>
      </c>
      <c r="K9" t="s">
        <v>21</v>
      </c>
    </row>
    <row r="10" spans="1:11" x14ac:dyDescent="0.3">
      <c r="A10" s="71"/>
      <c r="B10" s="71"/>
      <c r="C10" s="9" t="s">
        <v>8</v>
      </c>
      <c r="D10" s="9">
        <v>169</v>
      </c>
      <c r="E10" s="71"/>
      <c r="F10" s="71"/>
      <c r="G10" s="76"/>
      <c r="H10" s="76"/>
      <c r="J10" s="4">
        <v>4.1744465190717523</v>
      </c>
      <c r="K10" t="s">
        <v>22</v>
      </c>
    </row>
    <row r="11" spans="1:11" x14ac:dyDescent="0.3">
      <c r="A11" s="71"/>
      <c r="B11" s="71"/>
      <c r="C11" s="9" t="s">
        <v>9</v>
      </c>
      <c r="D11" s="9">
        <v>148.69999999999999</v>
      </c>
      <c r="E11" s="71"/>
      <c r="F11" s="71"/>
      <c r="G11" s="76"/>
      <c r="H11" s="76"/>
      <c r="J11" s="4">
        <v>3.7721170089801719</v>
      </c>
      <c r="K11" t="s">
        <v>23</v>
      </c>
    </row>
    <row r="12" spans="1:11" x14ac:dyDescent="0.3">
      <c r="A12" s="71"/>
      <c r="B12" s="71"/>
      <c r="C12" s="9" t="s">
        <v>10</v>
      </c>
      <c r="D12" s="9">
        <v>174.9</v>
      </c>
      <c r="E12" s="71"/>
      <c r="F12" s="71"/>
      <c r="G12" s="76"/>
      <c r="H12" s="76"/>
      <c r="J12" s="4">
        <v>3.8632524228683205</v>
      </c>
      <c r="K12" t="s">
        <v>24</v>
      </c>
    </row>
    <row r="13" spans="1:11" x14ac:dyDescent="0.3">
      <c r="A13" s="71"/>
      <c r="B13" s="71"/>
      <c r="C13" s="9" t="s">
        <v>11</v>
      </c>
      <c r="D13" s="9">
        <v>121.9</v>
      </c>
      <c r="E13" s="71"/>
      <c r="F13" s="71"/>
      <c r="G13" s="76"/>
      <c r="H13" s="76"/>
      <c r="J13" s="4">
        <v>4.0077353961056277</v>
      </c>
      <c r="K13" t="s">
        <v>25</v>
      </c>
    </row>
    <row r="14" spans="1:11" x14ac:dyDescent="0.3">
      <c r="A14" s="71"/>
      <c r="B14" s="71"/>
      <c r="C14" s="9" t="s">
        <v>12</v>
      </c>
      <c r="D14" s="9">
        <v>221</v>
      </c>
      <c r="E14" s="71"/>
      <c r="F14" s="71"/>
      <c r="G14" s="76"/>
      <c r="H14" s="76"/>
      <c r="J14" s="4">
        <v>8.0999377611807581</v>
      </c>
      <c r="K14" t="s">
        <v>26</v>
      </c>
    </row>
    <row r="15" spans="1:11" x14ac:dyDescent="0.3">
      <c r="A15" s="71"/>
      <c r="B15" s="71"/>
      <c r="C15" s="9" t="s">
        <v>13</v>
      </c>
      <c r="D15" s="9">
        <v>178.7</v>
      </c>
      <c r="E15" s="71"/>
      <c r="F15" s="71"/>
      <c r="G15" s="76"/>
      <c r="H15" s="76"/>
    </row>
    <row r="16" spans="1:11" x14ac:dyDescent="0.3">
      <c r="A16" s="71"/>
      <c r="B16" s="71"/>
      <c r="C16" s="9" t="s">
        <v>58</v>
      </c>
      <c r="D16" s="9">
        <v>191.1</v>
      </c>
      <c r="E16" s="71"/>
      <c r="F16" s="71"/>
      <c r="G16" s="76"/>
      <c r="H16" s="76"/>
    </row>
    <row r="17" spans="1:21" x14ac:dyDescent="0.3">
      <c r="A17" s="71"/>
      <c r="B17" s="71"/>
      <c r="C17" s="9" t="s">
        <v>14</v>
      </c>
      <c r="D17" s="9">
        <v>176.8</v>
      </c>
      <c r="E17" s="71"/>
      <c r="F17" s="71"/>
      <c r="G17" s="76"/>
      <c r="H17" s="76"/>
    </row>
    <row r="18" spans="1:21" x14ac:dyDescent="0.3">
      <c r="A18" s="72" t="s">
        <v>15</v>
      </c>
      <c r="B18" s="72"/>
      <c r="C18" s="10" t="s">
        <v>15</v>
      </c>
      <c r="D18" s="10">
        <v>199.9</v>
      </c>
      <c r="E18" s="72">
        <v>199.9</v>
      </c>
      <c r="F18" s="72"/>
      <c r="G18" s="80">
        <f>E18/SUM(E5:F30)*100</f>
        <v>4.4434071307904333</v>
      </c>
      <c r="H18" s="80"/>
    </row>
    <row r="19" spans="1:21" x14ac:dyDescent="0.3">
      <c r="A19" s="73" t="s">
        <v>18</v>
      </c>
      <c r="B19" s="73"/>
      <c r="C19" s="9" t="s">
        <v>16</v>
      </c>
      <c r="D19" s="9">
        <v>191.2</v>
      </c>
      <c r="E19" s="73">
        <v>569.9</v>
      </c>
      <c r="F19" s="73"/>
      <c r="G19" s="81">
        <f>E19/SUM(E5:F30)*100</f>
        <v>12.667822530452563</v>
      </c>
      <c r="H19" s="81"/>
    </row>
    <row r="20" spans="1:21" x14ac:dyDescent="0.3">
      <c r="A20" s="73"/>
      <c r="B20" s="73"/>
      <c r="C20" s="9" t="s">
        <v>17</v>
      </c>
      <c r="D20" s="9">
        <v>187.9</v>
      </c>
      <c r="E20" s="73"/>
      <c r="F20" s="73"/>
      <c r="G20" s="81"/>
      <c r="H20" s="81"/>
    </row>
    <row r="21" spans="1:21" x14ac:dyDescent="0.3">
      <c r="A21" s="73"/>
      <c r="B21" s="73"/>
      <c r="C21" s="9" t="s">
        <v>18</v>
      </c>
      <c r="D21" s="9">
        <v>190.8</v>
      </c>
      <c r="E21" s="73"/>
      <c r="F21" s="73"/>
      <c r="G21" s="81"/>
      <c r="H21" s="81"/>
    </row>
    <row r="22" spans="1:21" x14ac:dyDescent="0.3">
      <c r="A22" s="74" t="s">
        <v>19</v>
      </c>
      <c r="B22" s="74"/>
      <c r="C22" s="11" t="s">
        <v>19</v>
      </c>
      <c r="D22" s="11" t="s">
        <v>30</v>
      </c>
      <c r="E22" s="74"/>
      <c r="F22" s="74"/>
      <c r="G22" s="82"/>
      <c r="H22" s="82"/>
    </row>
    <row r="23" spans="1:21" x14ac:dyDescent="0.3">
      <c r="A23" s="75" t="s">
        <v>20</v>
      </c>
      <c r="B23" s="75"/>
      <c r="C23" s="9" t="s">
        <v>20</v>
      </c>
      <c r="D23" s="9">
        <v>182.5</v>
      </c>
      <c r="E23" s="75">
        <v>182.5</v>
      </c>
      <c r="F23" s="75"/>
      <c r="G23" s="70">
        <f>E23/SUM(E5:F30)*100</f>
        <v>4.0566373255090244</v>
      </c>
      <c r="H23" s="70"/>
      <c r="I23" s="51" t="s">
        <v>68</v>
      </c>
      <c r="J23" s="52"/>
      <c r="K23" s="52"/>
      <c r="L23" s="52"/>
      <c r="M23" s="52"/>
      <c r="N23" s="52"/>
      <c r="O23" s="52"/>
      <c r="P23" s="52"/>
      <c r="Q23" s="53"/>
      <c r="U23" t="s">
        <v>65</v>
      </c>
    </row>
    <row r="24" spans="1:21" x14ac:dyDescent="0.3">
      <c r="A24" s="79" t="s">
        <v>21</v>
      </c>
      <c r="B24" s="79"/>
      <c r="C24" s="10" t="s">
        <v>21</v>
      </c>
      <c r="D24" s="10">
        <v>179.8</v>
      </c>
      <c r="E24" s="79">
        <v>179.8</v>
      </c>
      <c r="F24" s="79"/>
      <c r="G24" s="69">
        <f>E24/SUM(E5:F30)*100</f>
        <v>3.99662132124122</v>
      </c>
      <c r="H24" s="69"/>
      <c r="I24" s="54"/>
      <c r="J24" s="55"/>
      <c r="K24" s="55"/>
      <c r="L24" s="55"/>
      <c r="M24" s="55"/>
      <c r="N24" s="55"/>
      <c r="O24" s="55"/>
      <c r="P24" s="55"/>
      <c r="Q24" s="56"/>
    </row>
    <row r="25" spans="1:21" x14ac:dyDescent="0.3">
      <c r="A25" s="75" t="s">
        <v>22</v>
      </c>
      <c r="B25" s="75"/>
      <c r="C25" s="9" t="s">
        <v>22</v>
      </c>
      <c r="D25" s="9">
        <v>187.8</v>
      </c>
      <c r="E25" s="75">
        <v>187.8</v>
      </c>
      <c r="F25" s="75"/>
      <c r="G25" s="70">
        <f>E25/SUM(E5:F30)*100</f>
        <v>4.1744465190717523</v>
      </c>
      <c r="H25" s="70"/>
      <c r="I25" s="60" t="s">
        <v>71</v>
      </c>
      <c r="J25" s="61"/>
      <c r="K25" s="61"/>
      <c r="L25" s="61"/>
      <c r="M25" s="61"/>
      <c r="N25" s="61"/>
      <c r="O25" s="61"/>
      <c r="P25" s="61"/>
      <c r="Q25" s="62"/>
    </row>
    <row r="26" spans="1:21" x14ac:dyDescent="0.3">
      <c r="A26" s="79" t="s">
        <v>23</v>
      </c>
      <c r="B26" s="79"/>
      <c r="C26" s="10" t="s">
        <v>23</v>
      </c>
      <c r="D26" s="10">
        <v>169.7</v>
      </c>
      <c r="E26" s="79">
        <v>169.7</v>
      </c>
      <c r="F26" s="79"/>
      <c r="G26" s="69">
        <f>E26/SUM(E5:F30)*100</f>
        <v>3.7721170089801719</v>
      </c>
      <c r="H26" s="69"/>
      <c r="I26" s="60" t="s">
        <v>66</v>
      </c>
      <c r="J26" s="61"/>
      <c r="K26" s="61"/>
      <c r="L26" s="61"/>
      <c r="M26" s="61"/>
      <c r="N26" s="61"/>
      <c r="O26" s="61"/>
      <c r="P26" s="61"/>
      <c r="Q26" s="62"/>
    </row>
    <row r="27" spans="1:21" x14ac:dyDescent="0.3">
      <c r="A27" s="75" t="s">
        <v>24</v>
      </c>
      <c r="B27" s="75"/>
      <c r="C27" s="9" t="s">
        <v>24</v>
      </c>
      <c r="D27" s="9">
        <v>173.8</v>
      </c>
      <c r="E27" s="75">
        <v>173.8</v>
      </c>
      <c r="F27" s="75"/>
      <c r="G27" s="70">
        <f>E27/SUM(E5:F30)*100</f>
        <v>3.8632524228683205</v>
      </c>
      <c r="H27" s="70"/>
      <c r="I27" s="60" t="s">
        <v>67</v>
      </c>
      <c r="J27" s="61"/>
      <c r="K27" s="61"/>
      <c r="L27" s="61"/>
      <c r="M27" s="61"/>
      <c r="N27" s="61"/>
      <c r="O27" s="61"/>
      <c r="P27" s="61"/>
      <c r="Q27" s="62"/>
      <c r="R27" s="13"/>
    </row>
    <row r="28" spans="1:21" x14ac:dyDescent="0.3">
      <c r="A28" s="79" t="s">
        <v>25</v>
      </c>
      <c r="B28" s="79"/>
      <c r="C28" s="10" t="s">
        <v>25</v>
      </c>
      <c r="D28" s="10">
        <v>180.3</v>
      </c>
      <c r="E28" s="79">
        <v>180.3</v>
      </c>
      <c r="F28" s="79"/>
      <c r="G28" s="69">
        <f>E28/SUM(E5:F30)*100</f>
        <v>4.0077353961056277</v>
      </c>
      <c r="H28" s="69"/>
      <c r="I28" s="57" t="s">
        <v>72</v>
      </c>
      <c r="J28" s="58"/>
      <c r="K28" s="58"/>
      <c r="L28" s="58"/>
      <c r="M28" s="58"/>
      <c r="N28" s="58"/>
      <c r="O28" s="58"/>
      <c r="P28" s="58"/>
      <c r="Q28" s="59"/>
    </row>
    <row r="29" spans="1:21" x14ac:dyDescent="0.3">
      <c r="A29" s="73" t="s">
        <v>26</v>
      </c>
      <c r="B29" s="73"/>
      <c r="C29" s="9" t="s">
        <v>56</v>
      </c>
      <c r="D29" s="9">
        <v>184.9</v>
      </c>
      <c r="E29" s="78">
        <v>364.4</v>
      </c>
      <c r="F29" s="78"/>
      <c r="G29" s="77">
        <f>E29/SUM(E5:F30)*100</f>
        <v>8.0999377611807581</v>
      </c>
      <c r="H29" s="77"/>
      <c r="I29" s="63" t="s">
        <v>73</v>
      </c>
      <c r="J29" s="64"/>
      <c r="K29" s="64"/>
      <c r="L29" s="64"/>
      <c r="M29" s="64"/>
      <c r="N29" s="64"/>
      <c r="O29" s="64"/>
      <c r="P29" s="64"/>
      <c r="Q29" s="65"/>
    </row>
    <row r="30" spans="1:21" x14ac:dyDescent="0.3">
      <c r="A30" s="73"/>
      <c r="B30" s="73"/>
      <c r="C30" s="9" t="s">
        <v>26</v>
      </c>
      <c r="D30" s="9">
        <v>179.5</v>
      </c>
      <c r="E30" s="78"/>
      <c r="F30" s="78"/>
      <c r="G30" s="77"/>
      <c r="H30" s="77"/>
    </row>
    <row r="31" spans="1:21" x14ac:dyDescent="0.3">
      <c r="A31" s="72" t="s">
        <v>59</v>
      </c>
      <c r="B31" s="72"/>
      <c r="C31" s="12"/>
      <c r="D31" s="10">
        <f>SUM(D5:D30)</f>
        <v>4498.8000000000011</v>
      </c>
      <c r="E31" s="79">
        <f>SUM(E5:E30)</f>
        <v>4498.8</v>
      </c>
      <c r="F31" s="79"/>
      <c r="G31" s="69">
        <f>SUM(G5:G30)</f>
        <v>99.999999999999986</v>
      </c>
      <c r="H31" s="79"/>
    </row>
    <row r="33" spans="1:17" x14ac:dyDescent="0.3">
      <c r="Q33" s="14"/>
    </row>
    <row r="34" spans="1:17" x14ac:dyDescent="0.3">
      <c r="A34" s="67" t="s">
        <v>69</v>
      </c>
      <c r="B34" s="67"/>
      <c r="C34" s="67"/>
      <c r="D34" s="67"/>
      <c r="E34" s="67"/>
      <c r="F34" s="67"/>
      <c r="G34" s="67"/>
      <c r="H34" s="67"/>
    </row>
    <row r="35" spans="1:17" x14ac:dyDescent="0.3">
      <c r="A35" s="67"/>
      <c r="B35" s="67"/>
      <c r="C35" s="67"/>
      <c r="D35" s="67"/>
      <c r="E35" s="67"/>
      <c r="F35" s="67"/>
      <c r="G35" s="67"/>
      <c r="H35" s="67"/>
    </row>
    <row r="36" spans="1:17" x14ac:dyDescent="0.3">
      <c r="A36" s="68"/>
      <c r="B36" s="68"/>
      <c r="C36" s="68"/>
      <c r="D36" s="68"/>
      <c r="E36" s="68"/>
      <c r="F36" s="68"/>
      <c r="G36" s="68"/>
      <c r="H36" s="68"/>
      <c r="J36" s="4"/>
    </row>
    <row r="37" spans="1:17" ht="18" x14ac:dyDescent="0.3">
      <c r="A37" s="66" t="s">
        <v>60</v>
      </c>
      <c r="B37" s="66"/>
      <c r="C37" s="8" t="s">
        <v>61</v>
      </c>
      <c r="D37" s="8" t="s">
        <v>62</v>
      </c>
      <c r="E37" s="66" t="s">
        <v>63</v>
      </c>
      <c r="F37" s="66"/>
      <c r="G37" s="66" t="s">
        <v>64</v>
      </c>
      <c r="H37" s="66"/>
      <c r="J37" s="4"/>
    </row>
    <row r="38" spans="1:17" x14ac:dyDescent="0.3">
      <c r="A38" s="71" t="s">
        <v>14</v>
      </c>
      <c r="B38" s="71"/>
      <c r="C38" s="9" t="s">
        <v>3</v>
      </c>
      <c r="D38" s="9">
        <v>174.7</v>
      </c>
      <c r="E38" s="83">
        <v>2335.1</v>
      </c>
      <c r="F38" s="84"/>
      <c r="G38" s="76">
        <v>50.315671529229199</v>
      </c>
      <c r="H38" s="76"/>
      <c r="J38" s="4">
        <v>50.32</v>
      </c>
      <c r="K38" t="s">
        <v>14</v>
      </c>
    </row>
    <row r="39" spans="1:17" x14ac:dyDescent="0.3">
      <c r="A39" s="71"/>
      <c r="B39" s="71"/>
      <c r="C39" s="9" t="s">
        <v>4</v>
      </c>
      <c r="D39" s="9">
        <v>219.4</v>
      </c>
      <c r="E39" s="85"/>
      <c r="F39" s="86"/>
      <c r="G39" s="76"/>
      <c r="H39" s="76"/>
      <c r="J39" s="4">
        <v>4.4000000000000004</v>
      </c>
      <c r="K39" t="s">
        <v>15</v>
      </c>
    </row>
    <row r="40" spans="1:17" x14ac:dyDescent="0.3">
      <c r="A40" s="71"/>
      <c r="B40" s="71"/>
      <c r="C40" s="9" t="s">
        <v>5</v>
      </c>
      <c r="D40" s="9">
        <v>176.7</v>
      </c>
      <c r="E40" s="85"/>
      <c r="F40" s="86"/>
      <c r="G40" s="76"/>
      <c r="H40" s="76"/>
      <c r="J40" s="4">
        <v>11.39</v>
      </c>
      <c r="K40" t="s">
        <v>18</v>
      </c>
    </row>
    <row r="41" spans="1:17" x14ac:dyDescent="0.3">
      <c r="A41" s="71"/>
      <c r="B41" s="71"/>
      <c r="C41" s="9" t="s">
        <v>6</v>
      </c>
      <c r="D41" s="9">
        <v>179.4</v>
      </c>
      <c r="E41" s="85"/>
      <c r="F41" s="86"/>
      <c r="G41" s="76"/>
      <c r="H41" s="76"/>
      <c r="J41" s="4">
        <v>3.78</v>
      </c>
      <c r="K41" t="s">
        <v>70</v>
      </c>
    </row>
    <row r="42" spans="1:17" x14ac:dyDescent="0.3">
      <c r="A42" s="71"/>
      <c r="B42" s="71"/>
      <c r="C42" s="9" t="s">
        <v>7</v>
      </c>
      <c r="D42" s="9">
        <v>164.4</v>
      </c>
      <c r="E42" s="85"/>
      <c r="F42" s="86"/>
      <c r="G42" s="76"/>
      <c r="H42" s="76"/>
      <c r="J42" s="4">
        <v>3.95</v>
      </c>
      <c r="K42" t="s">
        <v>20</v>
      </c>
    </row>
    <row r="43" spans="1:17" x14ac:dyDescent="0.3">
      <c r="A43" s="71"/>
      <c r="B43" s="71"/>
      <c r="C43" s="9" t="s">
        <v>8</v>
      </c>
      <c r="D43" s="9">
        <v>175.8</v>
      </c>
      <c r="E43" s="85"/>
      <c r="F43" s="86"/>
      <c r="G43" s="76"/>
      <c r="H43" s="76"/>
      <c r="J43" s="4">
        <v>3.67</v>
      </c>
      <c r="K43" t="s">
        <v>21</v>
      </c>
    </row>
    <row r="44" spans="1:17" x14ac:dyDescent="0.3">
      <c r="A44" s="71"/>
      <c r="B44" s="71"/>
      <c r="C44" s="9" t="s">
        <v>9</v>
      </c>
      <c r="D44" s="9">
        <v>185</v>
      </c>
      <c r="E44" s="85"/>
      <c r="F44" s="86"/>
      <c r="G44" s="76"/>
      <c r="H44" s="76"/>
      <c r="J44" s="4">
        <v>3.93</v>
      </c>
      <c r="K44" t="s">
        <v>22</v>
      </c>
    </row>
    <row r="45" spans="1:17" x14ac:dyDescent="0.3">
      <c r="A45" s="71"/>
      <c r="B45" s="71"/>
      <c r="C45" s="9" t="s">
        <v>10</v>
      </c>
      <c r="D45" s="9">
        <v>176.9</v>
      </c>
      <c r="E45" s="85"/>
      <c r="F45" s="86"/>
      <c r="G45" s="76"/>
      <c r="H45" s="76"/>
      <c r="J45" s="4">
        <v>3.46</v>
      </c>
      <c r="K45" t="s">
        <v>23</v>
      </c>
    </row>
    <row r="46" spans="1:17" x14ac:dyDescent="0.3">
      <c r="A46" s="71"/>
      <c r="B46" s="71"/>
      <c r="C46" s="9" t="s">
        <v>11</v>
      </c>
      <c r="D46" s="9">
        <v>124.2</v>
      </c>
      <c r="E46" s="85"/>
      <c r="F46" s="86"/>
      <c r="G46" s="76"/>
      <c r="H46" s="76"/>
      <c r="J46" s="4">
        <v>3.65</v>
      </c>
      <c r="K46" t="s">
        <v>24</v>
      </c>
    </row>
    <row r="47" spans="1:17" x14ac:dyDescent="0.3">
      <c r="A47" s="71"/>
      <c r="B47" s="71"/>
      <c r="C47" s="9" t="s">
        <v>12</v>
      </c>
      <c r="D47" s="9">
        <v>211.9</v>
      </c>
      <c r="E47" s="85"/>
      <c r="F47" s="86"/>
      <c r="G47" s="76"/>
      <c r="H47" s="76"/>
      <c r="J47" s="4">
        <v>3.77</v>
      </c>
      <c r="K47" t="s">
        <v>25</v>
      </c>
    </row>
    <row r="48" spans="1:17" x14ac:dyDescent="0.3">
      <c r="A48" s="71"/>
      <c r="B48" s="71"/>
      <c r="C48" s="9" t="s">
        <v>13</v>
      </c>
      <c r="D48" s="9">
        <v>165.9</v>
      </c>
      <c r="E48" s="85"/>
      <c r="F48" s="86"/>
      <c r="G48" s="76"/>
      <c r="H48" s="76"/>
      <c r="J48" s="4">
        <v>7.7</v>
      </c>
      <c r="K48" t="s">
        <v>26</v>
      </c>
    </row>
    <row r="49" spans="1:17" x14ac:dyDescent="0.3">
      <c r="A49" s="71"/>
      <c r="B49" s="71"/>
      <c r="C49" s="9" t="s">
        <v>58</v>
      </c>
      <c r="D49" s="9">
        <v>197.7</v>
      </c>
      <c r="E49" s="85"/>
      <c r="F49" s="86"/>
      <c r="G49" s="76"/>
      <c r="H49" s="76"/>
    </row>
    <row r="50" spans="1:17" x14ac:dyDescent="0.3">
      <c r="A50" s="71"/>
      <c r="B50" s="71"/>
      <c r="C50" s="9" t="s">
        <v>14</v>
      </c>
      <c r="D50" s="9">
        <v>183.1</v>
      </c>
      <c r="E50" s="87"/>
      <c r="F50" s="88"/>
      <c r="G50" s="76"/>
      <c r="H50" s="76"/>
    </row>
    <row r="51" spans="1:17" x14ac:dyDescent="0.3">
      <c r="A51" s="72" t="s">
        <v>15</v>
      </c>
      <c r="B51" s="72"/>
      <c r="C51" s="10" t="s">
        <v>15</v>
      </c>
      <c r="D51" s="10">
        <v>204.2</v>
      </c>
      <c r="E51" s="97">
        <v>204.2</v>
      </c>
      <c r="F51" s="98"/>
      <c r="G51" s="80">
        <v>4.4000086190178633</v>
      </c>
      <c r="H51" s="80"/>
    </row>
    <row r="52" spans="1:17" x14ac:dyDescent="0.3">
      <c r="A52" s="73" t="s">
        <v>18</v>
      </c>
      <c r="B52" s="73"/>
      <c r="C52" s="9" t="s">
        <v>16</v>
      </c>
      <c r="D52" s="9">
        <v>181.3</v>
      </c>
      <c r="E52" s="99">
        <v>528.70000000000005</v>
      </c>
      <c r="F52" s="100"/>
      <c r="G52" s="81">
        <v>11.39218686030727</v>
      </c>
      <c r="H52" s="81"/>
    </row>
    <row r="53" spans="1:17" x14ac:dyDescent="0.3">
      <c r="A53" s="73"/>
      <c r="B53" s="73"/>
      <c r="C53" s="9" t="s">
        <v>17</v>
      </c>
      <c r="D53" s="9">
        <v>168.1</v>
      </c>
      <c r="E53" s="101"/>
      <c r="F53" s="102"/>
      <c r="G53" s="81"/>
      <c r="H53" s="81"/>
    </row>
    <row r="54" spans="1:17" x14ac:dyDescent="0.3">
      <c r="A54" s="73"/>
      <c r="B54" s="73"/>
      <c r="C54" s="9" t="s">
        <v>18</v>
      </c>
      <c r="D54" s="9">
        <v>179.3</v>
      </c>
      <c r="E54" s="103"/>
      <c r="F54" s="104"/>
      <c r="G54" s="81"/>
      <c r="H54" s="81"/>
    </row>
    <row r="55" spans="1:17" x14ac:dyDescent="0.3">
      <c r="A55" s="74" t="s">
        <v>19</v>
      </c>
      <c r="B55" s="74"/>
      <c r="C55" s="11" t="s">
        <v>19</v>
      </c>
      <c r="D55" s="11">
        <v>175.6</v>
      </c>
      <c r="E55" s="89">
        <v>175.6</v>
      </c>
      <c r="F55" s="90"/>
      <c r="G55" s="91">
        <v>3.7837488418194747</v>
      </c>
      <c r="H55" s="92"/>
    </row>
    <row r="56" spans="1:17" ht="14.4" customHeight="1" x14ac:dyDescent="0.3">
      <c r="A56" s="75" t="s">
        <v>20</v>
      </c>
      <c r="B56" s="75"/>
      <c r="C56" s="9" t="s">
        <v>20</v>
      </c>
      <c r="D56" s="9">
        <v>183.4</v>
      </c>
      <c r="E56" s="93">
        <v>183.4</v>
      </c>
      <c r="F56" s="94"/>
      <c r="G56" s="95">
        <v>3.9518196901463085</v>
      </c>
      <c r="H56" s="96"/>
      <c r="I56" s="51" t="s">
        <v>68</v>
      </c>
      <c r="J56" s="52"/>
      <c r="K56" s="52"/>
      <c r="L56" s="52"/>
      <c r="M56" s="52"/>
      <c r="N56" s="52"/>
      <c r="O56" s="52"/>
      <c r="P56" s="52"/>
      <c r="Q56" s="53"/>
    </row>
    <row r="57" spans="1:17" ht="14.4" customHeight="1" x14ac:dyDescent="0.3">
      <c r="A57" s="79" t="s">
        <v>21</v>
      </c>
      <c r="B57" s="79"/>
      <c r="C57" s="10" t="s">
        <v>21</v>
      </c>
      <c r="D57" s="10">
        <v>170.1</v>
      </c>
      <c r="E57" s="105">
        <v>170.1</v>
      </c>
      <c r="F57" s="106"/>
      <c r="G57" s="91">
        <v>3.6652373462044001</v>
      </c>
      <c r="H57" s="92"/>
      <c r="I57" s="54"/>
      <c r="J57" s="55"/>
      <c r="K57" s="55"/>
      <c r="L57" s="55"/>
      <c r="M57" s="55"/>
      <c r="N57" s="55"/>
      <c r="O57" s="55"/>
      <c r="P57" s="55"/>
      <c r="Q57" s="56"/>
    </row>
    <row r="58" spans="1:17" x14ac:dyDescent="0.3">
      <c r="A58" s="75" t="s">
        <v>22</v>
      </c>
      <c r="B58" s="75"/>
      <c r="C58" s="9" t="s">
        <v>22</v>
      </c>
      <c r="D58" s="9">
        <v>182.2</v>
      </c>
      <c r="E58" s="93">
        <v>182.2</v>
      </c>
      <c r="F58" s="94"/>
      <c r="G58" s="95">
        <v>3.9259626365575646</v>
      </c>
      <c r="H58" s="96"/>
      <c r="I58" s="60" t="s">
        <v>74</v>
      </c>
      <c r="J58" s="61"/>
      <c r="K58" s="61"/>
      <c r="L58" s="61"/>
      <c r="M58" s="61"/>
      <c r="N58" s="61"/>
      <c r="O58" s="61"/>
      <c r="P58" s="61"/>
      <c r="Q58" s="62"/>
    </row>
    <row r="59" spans="1:17" x14ac:dyDescent="0.3">
      <c r="A59" s="79" t="s">
        <v>23</v>
      </c>
      <c r="B59" s="79"/>
      <c r="C59" s="10" t="s">
        <v>23</v>
      </c>
      <c r="D59" s="10">
        <v>160.4</v>
      </c>
      <c r="E59" s="105">
        <v>160.4</v>
      </c>
      <c r="F59" s="106"/>
      <c r="G59" s="91">
        <v>3.4562261630287234</v>
      </c>
      <c r="H59" s="92"/>
      <c r="I59" s="60" t="s">
        <v>66</v>
      </c>
      <c r="J59" s="61"/>
      <c r="K59" s="61"/>
      <c r="L59" s="61"/>
      <c r="M59" s="61"/>
      <c r="N59" s="61"/>
      <c r="O59" s="61"/>
      <c r="P59" s="61"/>
      <c r="Q59" s="62"/>
    </row>
    <row r="60" spans="1:17" x14ac:dyDescent="0.3">
      <c r="A60" s="75" t="s">
        <v>24</v>
      </c>
      <c r="B60" s="75"/>
      <c r="C60" s="9" t="s">
        <v>24</v>
      </c>
      <c r="D60" s="9">
        <v>169.2</v>
      </c>
      <c r="E60" s="93">
        <v>169.2</v>
      </c>
      <c r="F60" s="94"/>
      <c r="G60" s="95">
        <v>3.6458445560128423</v>
      </c>
      <c r="H60" s="96"/>
      <c r="I60" s="60" t="s">
        <v>75</v>
      </c>
      <c r="J60" s="61"/>
      <c r="K60" s="61"/>
      <c r="L60" s="61"/>
      <c r="M60" s="61"/>
      <c r="N60" s="61"/>
      <c r="O60" s="61"/>
      <c r="P60" s="61"/>
      <c r="Q60" s="62"/>
    </row>
    <row r="61" spans="1:17" x14ac:dyDescent="0.3">
      <c r="A61" s="79" t="s">
        <v>25</v>
      </c>
      <c r="B61" s="79"/>
      <c r="C61" s="10" t="s">
        <v>25</v>
      </c>
      <c r="D61" s="10">
        <v>174.8</v>
      </c>
      <c r="E61" s="105">
        <v>174.8</v>
      </c>
      <c r="F61" s="106"/>
      <c r="G61" s="91">
        <v>3.7665108060936459</v>
      </c>
      <c r="H61" s="92"/>
      <c r="I61" s="57" t="s">
        <v>76</v>
      </c>
      <c r="J61" s="58"/>
      <c r="K61" s="58"/>
      <c r="L61" s="58"/>
      <c r="M61" s="58"/>
      <c r="N61" s="58"/>
      <c r="O61" s="58"/>
      <c r="P61" s="58"/>
      <c r="Q61" s="59"/>
    </row>
    <row r="62" spans="1:17" x14ac:dyDescent="0.3">
      <c r="A62" s="73" t="s">
        <v>26</v>
      </c>
      <c r="B62" s="73"/>
      <c r="C62" s="9" t="s">
        <v>56</v>
      </c>
      <c r="D62" s="9">
        <v>185.6</v>
      </c>
      <c r="E62" s="107">
        <v>357.2</v>
      </c>
      <c r="F62" s="108"/>
      <c r="G62" s="77">
        <v>7.6967829515826676</v>
      </c>
      <c r="H62" s="77"/>
      <c r="I62" s="63" t="s">
        <v>77</v>
      </c>
      <c r="J62" s="64"/>
      <c r="K62" s="64"/>
      <c r="L62" s="64"/>
      <c r="M62" s="64"/>
      <c r="N62" s="64"/>
      <c r="O62" s="64"/>
      <c r="P62" s="64"/>
      <c r="Q62" s="65"/>
    </row>
    <row r="63" spans="1:17" x14ac:dyDescent="0.3">
      <c r="A63" s="73"/>
      <c r="B63" s="73"/>
      <c r="C63" s="9" t="s">
        <v>26</v>
      </c>
      <c r="D63" s="9">
        <v>171.6</v>
      </c>
      <c r="E63" s="109"/>
      <c r="F63" s="110"/>
      <c r="G63" s="77"/>
      <c r="H63" s="77"/>
    </row>
    <row r="64" spans="1:17" x14ac:dyDescent="0.3">
      <c r="A64" s="72" t="s">
        <v>59</v>
      </c>
      <c r="B64" s="72"/>
      <c r="C64" s="12"/>
      <c r="D64" s="10">
        <f>SUM(D38:D63)</f>
        <v>4640.9000000000005</v>
      </c>
      <c r="E64" s="79">
        <f>SUM(E38:E63)</f>
        <v>4640.8999999999996</v>
      </c>
      <c r="F64" s="79"/>
      <c r="G64" s="69">
        <f>SUM(G38:G63)</f>
        <v>99.999999999999972</v>
      </c>
      <c r="H64" s="79"/>
    </row>
    <row r="67" spans="1:10" x14ac:dyDescent="0.3">
      <c r="A67" s="111" t="s">
        <v>78</v>
      </c>
      <c r="B67" s="111"/>
      <c r="C67" s="111"/>
      <c r="D67" s="111"/>
      <c r="E67" s="111"/>
      <c r="F67" s="111"/>
      <c r="G67" s="111"/>
      <c r="H67" s="111"/>
    </row>
    <row r="68" spans="1:10" x14ac:dyDescent="0.3">
      <c r="A68" s="111"/>
      <c r="B68" s="111"/>
      <c r="C68" s="111"/>
      <c r="D68" s="111"/>
      <c r="E68" s="111"/>
      <c r="F68" s="111"/>
      <c r="G68" s="111"/>
      <c r="H68" s="111"/>
    </row>
    <row r="69" spans="1:10" x14ac:dyDescent="0.3">
      <c r="A69" s="112"/>
      <c r="B69" s="112"/>
      <c r="C69" s="112"/>
      <c r="D69" s="112"/>
      <c r="E69" s="112"/>
      <c r="F69" s="112"/>
      <c r="G69" s="112"/>
      <c r="H69" s="112"/>
      <c r="J69" s="4">
        <v>49.563853557923679</v>
      </c>
    </row>
    <row r="70" spans="1:10" ht="18" x14ac:dyDescent="0.3">
      <c r="A70" s="66" t="s">
        <v>60</v>
      </c>
      <c r="B70" s="66"/>
      <c r="C70" s="8" t="s">
        <v>61</v>
      </c>
      <c r="D70" s="8" t="s">
        <v>62</v>
      </c>
      <c r="E70" s="66" t="s">
        <v>63</v>
      </c>
      <c r="F70" s="66"/>
      <c r="G70" s="66" t="s">
        <v>64</v>
      </c>
      <c r="H70" s="66"/>
      <c r="J70" s="4">
        <v>4.3184943279477483</v>
      </c>
    </row>
    <row r="71" spans="1:10" x14ac:dyDescent="0.3">
      <c r="A71" s="71" t="s">
        <v>14</v>
      </c>
      <c r="B71" s="71"/>
      <c r="C71" s="9" t="s">
        <v>3</v>
      </c>
      <c r="D71" s="9">
        <v>173.7</v>
      </c>
      <c r="E71" s="83">
        <v>2306.9</v>
      </c>
      <c r="F71" s="84"/>
      <c r="G71" s="76">
        <f>E71/SUM(E71:F96)*100</f>
        <v>49.563853557923679</v>
      </c>
      <c r="H71" s="76"/>
      <c r="J71" s="4">
        <v>11.885527672739773</v>
      </c>
    </row>
    <row r="72" spans="1:10" x14ac:dyDescent="0.3">
      <c r="A72" s="71"/>
      <c r="B72" s="71"/>
      <c r="C72" s="9" t="s">
        <v>4</v>
      </c>
      <c r="D72" s="9">
        <v>214.3</v>
      </c>
      <c r="E72" s="85"/>
      <c r="F72" s="86"/>
      <c r="G72" s="76"/>
      <c r="H72" s="76"/>
      <c r="J72" s="4">
        <v>3.7727741491921618</v>
      </c>
    </row>
    <row r="73" spans="1:10" x14ac:dyDescent="0.3">
      <c r="A73" s="71"/>
      <c r="B73" s="71"/>
      <c r="C73" s="9" t="s">
        <v>5</v>
      </c>
      <c r="D73" s="9">
        <v>173.2</v>
      </c>
      <c r="E73" s="85"/>
      <c r="F73" s="86"/>
      <c r="G73" s="76"/>
      <c r="H73" s="76"/>
      <c r="J73" s="4">
        <v>3.9274664833276041</v>
      </c>
    </row>
    <row r="74" spans="1:10" x14ac:dyDescent="0.3">
      <c r="A74" s="71"/>
      <c r="B74" s="71"/>
      <c r="C74" s="9" t="s">
        <v>6</v>
      </c>
      <c r="D74" s="9">
        <v>179.5</v>
      </c>
      <c r="E74" s="85"/>
      <c r="F74" s="86"/>
      <c r="G74" s="76"/>
      <c r="H74" s="76"/>
      <c r="J74" s="4">
        <v>3.7641801306290814</v>
      </c>
    </row>
    <row r="75" spans="1:10" x14ac:dyDescent="0.3">
      <c r="A75" s="71"/>
      <c r="B75" s="71"/>
      <c r="C75" s="9" t="s">
        <v>7</v>
      </c>
      <c r="D75" s="9">
        <v>170</v>
      </c>
      <c r="E75" s="85"/>
      <c r="F75" s="86"/>
      <c r="G75" s="76"/>
      <c r="H75" s="76"/>
      <c r="J75" s="4">
        <v>3.9897731179099338</v>
      </c>
    </row>
    <row r="76" spans="1:10" x14ac:dyDescent="0.3">
      <c r="A76" s="71"/>
      <c r="B76" s="71"/>
      <c r="C76" s="9" t="s">
        <v>8</v>
      </c>
      <c r="D76" s="9">
        <v>172.2</v>
      </c>
      <c r="E76" s="85"/>
      <c r="F76" s="86"/>
      <c r="G76" s="76"/>
      <c r="H76" s="76"/>
      <c r="J76" s="4">
        <v>3.5407356479889995</v>
      </c>
    </row>
    <row r="77" spans="1:10" x14ac:dyDescent="0.3">
      <c r="A77" s="71"/>
      <c r="B77" s="71"/>
      <c r="C77" s="9" t="s">
        <v>9</v>
      </c>
      <c r="D77" s="9">
        <v>161</v>
      </c>
      <c r="E77" s="85"/>
      <c r="F77" s="86"/>
      <c r="G77" s="76"/>
      <c r="H77" s="76"/>
      <c r="J77" s="4">
        <v>3.678239944998281</v>
      </c>
    </row>
    <row r="78" spans="1:10" x14ac:dyDescent="0.3">
      <c r="A78" s="71"/>
      <c r="B78" s="71"/>
      <c r="C78" s="9" t="s">
        <v>10</v>
      </c>
      <c r="D78" s="9">
        <v>175.6</v>
      </c>
      <c r="E78" s="85"/>
      <c r="F78" s="86"/>
      <c r="G78" s="76"/>
      <c r="H78" s="76"/>
      <c r="J78" s="4">
        <v>3.805001718803712</v>
      </c>
    </row>
    <row r="79" spans="1:10" x14ac:dyDescent="0.3">
      <c r="A79" s="71"/>
      <c r="B79" s="71"/>
      <c r="C79" s="9" t="s">
        <v>11</v>
      </c>
      <c r="D79" s="9">
        <v>122.7</v>
      </c>
      <c r="E79" s="85"/>
      <c r="F79" s="86"/>
      <c r="G79" s="76"/>
      <c r="H79" s="76"/>
      <c r="J79" s="4">
        <v>7.7539532485390152</v>
      </c>
    </row>
    <row r="80" spans="1:10" x14ac:dyDescent="0.3">
      <c r="A80" s="71"/>
      <c r="B80" s="71"/>
      <c r="C80" s="9" t="s">
        <v>12</v>
      </c>
      <c r="D80" s="9">
        <v>218</v>
      </c>
      <c r="E80" s="85"/>
      <c r="F80" s="86"/>
      <c r="G80" s="76"/>
      <c r="H80" s="76"/>
    </row>
    <row r="81" spans="1:17" x14ac:dyDescent="0.3">
      <c r="A81" s="71"/>
      <c r="B81" s="71"/>
      <c r="C81" s="9" t="s">
        <v>13</v>
      </c>
      <c r="D81" s="9">
        <v>173.4</v>
      </c>
      <c r="E81" s="85"/>
      <c r="F81" s="86"/>
      <c r="G81" s="76"/>
      <c r="H81" s="76"/>
    </row>
    <row r="82" spans="1:17" x14ac:dyDescent="0.3">
      <c r="A82" s="71"/>
      <c r="B82" s="71"/>
      <c r="C82" s="9" t="s">
        <v>58</v>
      </c>
      <c r="D82" s="9">
        <v>194.2</v>
      </c>
      <c r="E82" s="85"/>
      <c r="F82" s="86"/>
      <c r="G82" s="76"/>
      <c r="H82" s="76"/>
    </row>
    <row r="83" spans="1:17" x14ac:dyDescent="0.3">
      <c r="A83" s="71"/>
      <c r="B83" s="71"/>
      <c r="C83" s="9" t="s">
        <v>14</v>
      </c>
      <c r="D83" s="9">
        <v>179.1</v>
      </c>
      <c r="E83" s="87"/>
      <c r="F83" s="88"/>
      <c r="G83" s="76"/>
      <c r="H83" s="76"/>
    </row>
    <row r="84" spans="1:17" x14ac:dyDescent="0.3">
      <c r="A84" s="72" t="s">
        <v>15</v>
      </c>
      <c r="B84" s="72"/>
      <c r="C84" s="10" t="s">
        <v>15</v>
      </c>
      <c r="D84" s="10">
        <v>201</v>
      </c>
      <c r="E84" s="97">
        <v>201</v>
      </c>
      <c r="F84" s="98"/>
      <c r="G84" s="80">
        <f>E84/SUM(E71:F96)*100</f>
        <v>4.3184943279477483</v>
      </c>
      <c r="H84" s="80"/>
    </row>
    <row r="85" spans="1:17" x14ac:dyDescent="0.3">
      <c r="A85" s="73" t="s">
        <v>18</v>
      </c>
      <c r="B85" s="73"/>
      <c r="C85" s="9" t="s">
        <v>16</v>
      </c>
      <c r="D85" s="9">
        <v>187.3</v>
      </c>
      <c r="E85" s="99">
        <v>553.20000000000005</v>
      </c>
      <c r="F85" s="100"/>
      <c r="G85" s="81">
        <f>E85/SUM(E71:F96)*100</f>
        <v>11.885527672739773</v>
      </c>
      <c r="H85" s="81"/>
    </row>
    <row r="86" spans="1:17" x14ac:dyDescent="0.3">
      <c r="A86" s="73"/>
      <c r="B86" s="73"/>
      <c r="C86" s="9" t="s">
        <v>17</v>
      </c>
      <c r="D86" s="9">
        <v>179.7</v>
      </c>
      <c r="E86" s="101"/>
      <c r="F86" s="102"/>
      <c r="G86" s="81"/>
      <c r="H86" s="81"/>
    </row>
    <row r="87" spans="1:17" x14ac:dyDescent="0.3">
      <c r="A87" s="73"/>
      <c r="B87" s="73"/>
      <c r="C87" s="9" t="s">
        <v>18</v>
      </c>
      <c r="D87" s="9">
        <v>186.2</v>
      </c>
      <c r="E87" s="103"/>
      <c r="F87" s="104"/>
      <c r="G87" s="81"/>
      <c r="H87" s="81"/>
    </row>
    <row r="88" spans="1:17" x14ac:dyDescent="0.3">
      <c r="A88" s="74" t="s">
        <v>19</v>
      </c>
      <c r="B88" s="74"/>
      <c r="C88" s="11" t="s">
        <v>19</v>
      </c>
      <c r="D88" s="11">
        <v>175.6</v>
      </c>
      <c r="E88" s="89">
        <v>175.6</v>
      </c>
      <c r="F88" s="90"/>
      <c r="G88" s="91">
        <f>E88/SUM(E71:F96)*100</f>
        <v>3.7727741491921618</v>
      </c>
      <c r="H88" s="92"/>
    </row>
    <row r="89" spans="1:17" x14ac:dyDescent="0.3">
      <c r="A89" s="75" t="s">
        <v>20</v>
      </c>
      <c r="B89" s="75"/>
      <c r="C89" s="9" t="s">
        <v>20</v>
      </c>
      <c r="D89" s="9">
        <v>182.8</v>
      </c>
      <c r="E89" s="93">
        <v>182.8</v>
      </c>
      <c r="F89" s="94"/>
      <c r="G89" s="95">
        <f>E89/SUM(E71:F96)*100</f>
        <v>3.9274664833276041</v>
      </c>
      <c r="H89" s="96"/>
      <c r="I89" s="51" t="s">
        <v>68</v>
      </c>
      <c r="J89" s="52"/>
      <c r="K89" s="52"/>
      <c r="L89" s="52"/>
      <c r="M89" s="52"/>
      <c r="N89" s="52"/>
      <c r="O89" s="52"/>
      <c r="P89" s="52"/>
      <c r="Q89" s="53"/>
    </row>
    <row r="90" spans="1:17" ht="14.4" customHeight="1" x14ac:dyDescent="0.3">
      <c r="A90" s="79" t="s">
        <v>21</v>
      </c>
      <c r="B90" s="79"/>
      <c r="C90" s="10" t="s">
        <v>21</v>
      </c>
      <c r="D90" s="10">
        <v>175.2</v>
      </c>
      <c r="E90" s="105">
        <v>175.2</v>
      </c>
      <c r="F90" s="106"/>
      <c r="G90" s="91">
        <f>E90/SUM(E71:F96)*100</f>
        <v>3.7641801306290814</v>
      </c>
      <c r="H90" s="92"/>
      <c r="I90" s="54"/>
      <c r="J90" s="55"/>
      <c r="K90" s="55"/>
      <c r="L90" s="55"/>
      <c r="M90" s="55"/>
      <c r="N90" s="55"/>
      <c r="O90" s="55"/>
      <c r="P90" s="55"/>
      <c r="Q90" s="56"/>
    </row>
    <row r="91" spans="1:17" ht="14.4" customHeight="1" x14ac:dyDescent="0.3">
      <c r="A91" s="75" t="s">
        <v>22</v>
      </c>
      <c r="B91" s="75"/>
      <c r="C91" s="9" t="s">
        <v>22</v>
      </c>
      <c r="D91" s="9">
        <v>185.7</v>
      </c>
      <c r="E91" s="93">
        <v>185.7</v>
      </c>
      <c r="F91" s="94"/>
      <c r="G91" s="95">
        <f>E91/SUM(E71:F96)*100</f>
        <v>3.9897731179099338</v>
      </c>
      <c r="H91" s="96"/>
      <c r="I91" s="60" t="s">
        <v>79</v>
      </c>
      <c r="J91" s="61"/>
      <c r="K91" s="61"/>
      <c r="L91" s="61"/>
      <c r="M91" s="61"/>
      <c r="N91" s="61"/>
      <c r="O91" s="61"/>
      <c r="P91" s="61"/>
      <c r="Q91" s="62"/>
    </row>
    <row r="92" spans="1:17" x14ac:dyDescent="0.3">
      <c r="A92" s="79" t="s">
        <v>23</v>
      </c>
      <c r="B92" s="79"/>
      <c r="C92" s="10" t="s">
        <v>23</v>
      </c>
      <c r="D92" s="10">
        <v>164.8</v>
      </c>
      <c r="E92" s="105">
        <v>164.8</v>
      </c>
      <c r="F92" s="106"/>
      <c r="G92" s="91">
        <f>E92/SUM(E71:F96)*100</f>
        <v>3.5407356479889995</v>
      </c>
      <c r="H92" s="92"/>
      <c r="I92" s="60" t="s">
        <v>66</v>
      </c>
      <c r="J92" s="61"/>
      <c r="K92" s="61"/>
      <c r="L92" s="61"/>
      <c r="M92" s="61"/>
      <c r="N92" s="61"/>
      <c r="O92" s="61"/>
      <c r="P92" s="61"/>
      <c r="Q92" s="62"/>
    </row>
    <row r="93" spans="1:17" x14ac:dyDescent="0.3">
      <c r="A93" s="75" t="s">
        <v>24</v>
      </c>
      <c r="B93" s="75"/>
      <c r="C93" s="9" t="s">
        <v>24</v>
      </c>
      <c r="D93" s="9">
        <v>171.2</v>
      </c>
      <c r="E93" s="93">
        <v>171.2</v>
      </c>
      <c r="F93" s="94"/>
      <c r="G93" s="95">
        <f>E93/SUM(E71:F96)*100</f>
        <v>3.678239944998281</v>
      </c>
      <c r="H93" s="96"/>
      <c r="I93" s="60" t="s">
        <v>80</v>
      </c>
      <c r="J93" s="61"/>
      <c r="K93" s="61"/>
      <c r="L93" s="61"/>
      <c r="M93" s="61"/>
      <c r="N93" s="61"/>
      <c r="O93" s="61"/>
      <c r="P93" s="61"/>
      <c r="Q93" s="62"/>
    </row>
    <row r="94" spans="1:17" x14ac:dyDescent="0.3">
      <c r="A94" s="79" t="s">
        <v>25</v>
      </c>
      <c r="B94" s="79"/>
      <c r="C94" s="10" t="s">
        <v>25</v>
      </c>
      <c r="D94" s="10">
        <v>177.1</v>
      </c>
      <c r="E94" s="105">
        <v>177.1</v>
      </c>
      <c r="F94" s="106"/>
      <c r="G94" s="91">
        <f>E94/SUM(E71:F96)*100</f>
        <v>3.805001718803712</v>
      </c>
      <c r="H94" s="92"/>
      <c r="I94" s="57" t="s">
        <v>81</v>
      </c>
      <c r="J94" s="58"/>
      <c r="K94" s="58"/>
      <c r="L94" s="58"/>
      <c r="M94" s="58"/>
      <c r="N94" s="58"/>
      <c r="O94" s="58"/>
      <c r="P94" s="58"/>
      <c r="Q94" s="59"/>
    </row>
    <row r="95" spans="1:17" x14ac:dyDescent="0.3">
      <c r="A95" s="73" t="s">
        <v>26</v>
      </c>
      <c r="B95" s="73"/>
      <c r="C95" s="9" t="s">
        <v>56</v>
      </c>
      <c r="D95" s="9">
        <v>185.2</v>
      </c>
      <c r="E95" s="107">
        <v>360.9</v>
      </c>
      <c r="F95" s="108"/>
      <c r="G95" s="77">
        <f>E95/SUM(E71:F96)*100</f>
        <v>7.7539532485390152</v>
      </c>
      <c r="H95" s="77"/>
      <c r="I95" s="63" t="s">
        <v>77</v>
      </c>
      <c r="J95" s="64"/>
      <c r="K95" s="64"/>
      <c r="L95" s="64"/>
      <c r="M95" s="64"/>
      <c r="N95" s="64"/>
      <c r="O95" s="64"/>
      <c r="P95" s="64"/>
      <c r="Q95" s="65"/>
    </row>
    <row r="96" spans="1:17" x14ac:dyDescent="0.3">
      <c r="A96" s="73"/>
      <c r="B96" s="73"/>
      <c r="C96" s="9" t="s">
        <v>26</v>
      </c>
      <c r="D96" s="9">
        <v>175.7</v>
      </c>
      <c r="E96" s="109"/>
      <c r="F96" s="110"/>
      <c r="G96" s="77"/>
      <c r="H96" s="77"/>
    </row>
    <row r="97" spans="1:8" x14ac:dyDescent="0.3">
      <c r="A97" s="72" t="s">
        <v>59</v>
      </c>
      <c r="B97" s="72"/>
      <c r="C97" s="12"/>
      <c r="D97" s="10">
        <f>SUM(D71:D96)</f>
        <v>4654.3999999999996</v>
      </c>
      <c r="E97" s="79">
        <f>SUM(E71:E96)</f>
        <v>4654.4000000000005</v>
      </c>
      <c r="F97" s="79"/>
      <c r="G97" s="69">
        <f>SUM(G71:G96)</f>
        <v>99.999999999999986</v>
      </c>
      <c r="H97" s="79"/>
    </row>
  </sheetData>
  <mergeCells count="138">
    <mergeCell ref="A97:B97"/>
    <mergeCell ref="E97:F97"/>
    <mergeCell ref="G97:H97"/>
    <mergeCell ref="I92:Q92"/>
    <mergeCell ref="I93:Q93"/>
    <mergeCell ref="I94:Q94"/>
    <mergeCell ref="I95:Q95"/>
    <mergeCell ref="I89:Q90"/>
    <mergeCell ref="I91:Q91"/>
    <mergeCell ref="A94:B94"/>
    <mergeCell ref="E94:F94"/>
    <mergeCell ref="G94:H94"/>
    <mergeCell ref="A95:B96"/>
    <mergeCell ref="E95:F96"/>
    <mergeCell ref="G95:H96"/>
    <mergeCell ref="A92:B92"/>
    <mergeCell ref="E92:F92"/>
    <mergeCell ref="G92:H92"/>
    <mergeCell ref="A93:B93"/>
    <mergeCell ref="E93:F93"/>
    <mergeCell ref="G93:H93"/>
    <mergeCell ref="A90:B90"/>
    <mergeCell ref="E90:F90"/>
    <mergeCell ref="G90:H90"/>
    <mergeCell ref="A91:B91"/>
    <mergeCell ref="E91:F91"/>
    <mergeCell ref="G91:H91"/>
    <mergeCell ref="A88:B88"/>
    <mergeCell ref="E88:F88"/>
    <mergeCell ref="G88:H88"/>
    <mergeCell ref="A89:B89"/>
    <mergeCell ref="E89:F89"/>
    <mergeCell ref="G89:H89"/>
    <mergeCell ref="A84:B84"/>
    <mergeCell ref="E84:F84"/>
    <mergeCell ref="G84:H84"/>
    <mergeCell ref="A85:B87"/>
    <mergeCell ref="E85:F87"/>
    <mergeCell ref="G85:H87"/>
    <mergeCell ref="A67:H69"/>
    <mergeCell ref="A70:B70"/>
    <mergeCell ref="E70:F70"/>
    <mergeCell ref="G70:H70"/>
    <mergeCell ref="A71:B83"/>
    <mergeCell ref="E71:F83"/>
    <mergeCell ref="G71:H83"/>
    <mergeCell ref="A64:B64"/>
    <mergeCell ref="E64:F64"/>
    <mergeCell ref="G64:H64"/>
    <mergeCell ref="A61:B61"/>
    <mergeCell ref="E61:F61"/>
    <mergeCell ref="G61:H61"/>
    <mergeCell ref="A62:B63"/>
    <mergeCell ref="E62:F63"/>
    <mergeCell ref="G62:H63"/>
    <mergeCell ref="A59:B59"/>
    <mergeCell ref="E59:F59"/>
    <mergeCell ref="G59:H59"/>
    <mergeCell ref="A60:B60"/>
    <mergeCell ref="E60:F60"/>
    <mergeCell ref="G60:H60"/>
    <mergeCell ref="A57:B57"/>
    <mergeCell ref="E57:F57"/>
    <mergeCell ref="G57:H57"/>
    <mergeCell ref="A58:B58"/>
    <mergeCell ref="E58:F58"/>
    <mergeCell ref="G58:H58"/>
    <mergeCell ref="A55:B55"/>
    <mergeCell ref="E55:F55"/>
    <mergeCell ref="G55:H55"/>
    <mergeCell ref="A56:B56"/>
    <mergeCell ref="E56:F56"/>
    <mergeCell ref="G56:H56"/>
    <mergeCell ref="A51:B51"/>
    <mergeCell ref="E51:F51"/>
    <mergeCell ref="G51:H51"/>
    <mergeCell ref="A52:B54"/>
    <mergeCell ref="E52:F54"/>
    <mergeCell ref="G52:H54"/>
    <mergeCell ref="A34:H36"/>
    <mergeCell ref="A37:B37"/>
    <mergeCell ref="E37:F37"/>
    <mergeCell ref="G37:H37"/>
    <mergeCell ref="A38:B50"/>
    <mergeCell ref="E38:F50"/>
    <mergeCell ref="G38:H50"/>
    <mergeCell ref="A31:B31"/>
    <mergeCell ref="E18:F18"/>
    <mergeCell ref="E19:F21"/>
    <mergeCell ref="E22:F22"/>
    <mergeCell ref="E23:F23"/>
    <mergeCell ref="E24:F24"/>
    <mergeCell ref="E25:F25"/>
    <mergeCell ref="E26:F26"/>
    <mergeCell ref="E27:F27"/>
    <mergeCell ref="E28:F28"/>
    <mergeCell ref="A24:B24"/>
    <mergeCell ref="A25:B25"/>
    <mergeCell ref="A26:B26"/>
    <mergeCell ref="A27:B27"/>
    <mergeCell ref="A28:B28"/>
    <mergeCell ref="A29:B30"/>
    <mergeCell ref="G31:H31"/>
    <mergeCell ref="G29:H30"/>
    <mergeCell ref="E29:F30"/>
    <mergeCell ref="E31:F31"/>
    <mergeCell ref="G18:H18"/>
    <mergeCell ref="G19:H21"/>
    <mergeCell ref="G22:H22"/>
    <mergeCell ref="G23:H23"/>
    <mergeCell ref="G24:H24"/>
    <mergeCell ref="G25:H25"/>
    <mergeCell ref="G4:H4"/>
    <mergeCell ref="A1:H3"/>
    <mergeCell ref="G26:H26"/>
    <mergeCell ref="G27:H27"/>
    <mergeCell ref="G28:H28"/>
    <mergeCell ref="A5:B17"/>
    <mergeCell ref="A18:B18"/>
    <mergeCell ref="A19:B21"/>
    <mergeCell ref="A22:B22"/>
    <mergeCell ref="A23:B23"/>
    <mergeCell ref="E5:F17"/>
    <mergeCell ref="G5:H17"/>
    <mergeCell ref="A4:B4"/>
    <mergeCell ref="E4:F4"/>
    <mergeCell ref="I23:Q24"/>
    <mergeCell ref="I28:Q28"/>
    <mergeCell ref="I27:Q27"/>
    <mergeCell ref="I29:Q29"/>
    <mergeCell ref="I25:Q25"/>
    <mergeCell ref="I26:Q26"/>
    <mergeCell ref="I62:Q62"/>
    <mergeCell ref="I56:Q57"/>
    <mergeCell ref="I58:Q58"/>
    <mergeCell ref="I59:Q59"/>
    <mergeCell ref="I60:Q60"/>
    <mergeCell ref="I61:Q6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40F04-C153-44DD-8A90-28DF9271DDC0}">
  <dimension ref="A1:H18"/>
  <sheetViews>
    <sheetView zoomScaleNormal="100" workbookViewId="0">
      <selection activeCell="A21" sqref="A21"/>
    </sheetView>
  </sheetViews>
  <sheetFormatPr defaultRowHeight="14.4" x14ac:dyDescent="0.3"/>
  <cols>
    <col min="1" max="1" width="44.88671875" customWidth="1"/>
    <col min="2" max="2" width="43.109375" customWidth="1"/>
    <col min="3" max="3" width="10.33203125" customWidth="1"/>
    <col min="4" max="4" width="10.5546875" customWidth="1"/>
    <col min="5" max="5" width="9.21875" customWidth="1"/>
    <col min="8" max="8" width="13.109375" bestFit="1" customWidth="1"/>
  </cols>
  <sheetData>
    <row r="1" spans="1:8" x14ac:dyDescent="0.3">
      <c r="A1" s="113" t="s">
        <v>46</v>
      </c>
      <c r="B1" s="113"/>
    </row>
    <row r="2" spans="1:8" ht="16.2" customHeight="1" x14ac:dyDescent="0.3">
      <c r="A2" s="113"/>
      <c r="B2" s="113"/>
      <c r="C2" s="1"/>
      <c r="D2" s="1"/>
    </row>
    <row r="3" spans="1:8" ht="18" x14ac:dyDescent="0.35">
      <c r="A3" s="2" t="s">
        <v>47</v>
      </c>
      <c r="B3" s="3" t="s">
        <v>48</v>
      </c>
    </row>
    <row r="4" spans="1:8" x14ac:dyDescent="0.3">
      <c r="A4">
        <v>2017</v>
      </c>
      <c r="B4" s="4">
        <v>3.3273885375365371</v>
      </c>
      <c r="H4" s="4"/>
    </row>
    <row r="5" spans="1:8" x14ac:dyDescent="0.3">
      <c r="A5">
        <v>2018</v>
      </c>
      <c r="B5" s="4">
        <v>3.9676971910429089</v>
      </c>
      <c r="H5" s="4"/>
    </row>
    <row r="6" spans="1:8" x14ac:dyDescent="0.3">
      <c r="A6">
        <v>2019</v>
      </c>
      <c r="B6" s="4">
        <v>3.9729559917622894</v>
      </c>
      <c r="H6" s="4"/>
    </row>
    <row r="7" spans="1:8" x14ac:dyDescent="0.3">
      <c r="A7">
        <v>2020</v>
      </c>
      <c r="B7" s="4">
        <v>6.2489165355952059</v>
      </c>
      <c r="H7" s="4"/>
    </row>
    <row r="8" spans="1:8" x14ac:dyDescent="0.3">
      <c r="A8">
        <v>2021</v>
      </c>
      <c r="B8" s="4">
        <v>5.5310690556844584</v>
      </c>
      <c r="H8" s="4"/>
    </row>
    <row r="9" spans="1:8" x14ac:dyDescent="0.3">
      <c r="A9">
        <v>2022</v>
      </c>
      <c r="B9" s="4">
        <v>6.6240649804989227</v>
      </c>
      <c r="H9" s="4"/>
    </row>
    <row r="10" spans="1:8" ht="15.6" x14ac:dyDescent="0.3">
      <c r="A10" s="5"/>
      <c r="B10" s="1"/>
    </row>
    <row r="11" spans="1:8" ht="15.6" customHeight="1" x14ac:dyDescent="0.3">
      <c r="A11" s="114" t="s">
        <v>68</v>
      </c>
      <c r="B11" s="1"/>
    </row>
    <row r="12" spans="1:8" x14ac:dyDescent="0.3">
      <c r="A12" s="115"/>
    </row>
    <row r="13" spans="1:8" x14ac:dyDescent="0.3">
      <c r="A13" s="15" t="s">
        <v>49</v>
      </c>
    </row>
    <row r="14" spans="1:8" x14ac:dyDescent="0.3">
      <c r="A14" s="15" t="s">
        <v>50</v>
      </c>
    </row>
    <row r="15" spans="1:8" x14ac:dyDescent="0.3">
      <c r="A15" s="15" t="s">
        <v>51</v>
      </c>
    </row>
    <row r="16" spans="1:8" x14ac:dyDescent="0.3">
      <c r="A16" s="15" t="s">
        <v>52</v>
      </c>
    </row>
    <row r="17" spans="1:1" x14ac:dyDescent="0.3">
      <c r="A17" s="15" t="s">
        <v>53</v>
      </c>
    </row>
    <row r="18" spans="1:1" x14ac:dyDescent="0.3">
      <c r="A18" s="16" t="s">
        <v>54</v>
      </c>
    </row>
  </sheetData>
  <mergeCells count="2">
    <mergeCell ref="A1:B2"/>
    <mergeCell ref="A11:A12"/>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CAE85-2BA1-4961-86B9-DAC575999A80}">
  <dimension ref="A1:F79"/>
  <sheetViews>
    <sheetView zoomScaleNormal="100" workbookViewId="0">
      <selection activeCell="A17" sqref="A17:D18"/>
    </sheetView>
  </sheetViews>
  <sheetFormatPr defaultRowHeight="14.4" x14ac:dyDescent="0.3"/>
  <cols>
    <col min="1" max="1" width="6.5546875" customWidth="1"/>
    <col min="2" max="2" width="9.77734375" bestFit="1" customWidth="1"/>
    <col min="3" max="3" width="23.109375" customWidth="1"/>
    <col min="4" max="4" width="20.33203125" customWidth="1"/>
    <col min="5" max="5" width="13.5546875" customWidth="1"/>
    <col min="6" max="6" width="15.88671875" customWidth="1"/>
  </cols>
  <sheetData>
    <row r="1" spans="1:6" x14ac:dyDescent="0.3">
      <c r="A1" s="116" t="s">
        <v>86</v>
      </c>
      <c r="B1" s="116"/>
      <c r="C1" s="116"/>
      <c r="D1" s="116"/>
      <c r="E1" s="116"/>
      <c r="F1" s="116"/>
    </row>
    <row r="2" spans="1:6" x14ac:dyDescent="0.3">
      <c r="A2" s="116"/>
      <c r="B2" s="116"/>
      <c r="C2" s="116"/>
      <c r="D2" s="116"/>
      <c r="E2" s="116"/>
      <c r="F2" s="116"/>
    </row>
    <row r="3" spans="1:6" x14ac:dyDescent="0.3">
      <c r="A3" s="26" t="s">
        <v>1</v>
      </c>
      <c r="B3" s="26" t="s">
        <v>2</v>
      </c>
      <c r="C3" s="26" t="s">
        <v>85</v>
      </c>
      <c r="D3" s="26" t="s">
        <v>82</v>
      </c>
      <c r="E3" s="26" t="s">
        <v>83</v>
      </c>
      <c r="F3" s="27" t="s">
        <v>84</v>
      </c>
    </row>
    <row r="4" spans="1:6" x14ac:dyDescent="0.3">
      <c r="A4" s="18">
        <v>2022</v>
      </c>
      <c r="B4" s="17" t="s">
        <v>37</v>
      </c>
      <c r="C4" s="24">
        <v>172.94615384615386</v>
      </c>
      <c r="D4" s="24">
        <v>171.2923076923077</v>
      </c>
      <c r="E4" s="22">
        <f>C4-D4</f>
        <v>1.6538461538461604</v>
      </c>
      <c r="F4" s="22">
        <f>E4/D4*100</f>
        <v>0.96551104724268388</v>
      </c>
    </row>
    <row r="5" spans="1:6" x14ac:dyDescent="0.3">
      <c r="A5" s="20">
        <v>2022</v>
      </c>
      <c r="B5" s="19" t="s">
        <v>38</v>
      </c>
      <c r="C5" s="25">
        <v>173.26923076923077</v>
      </c>
      <c r="D5" s="25">
        <v>172.94615384615386</v>
      </c>
      <c r="E5" s="23">
        <f t="shared" ref="E5:E15" si="0">C5-D5</f>
        <v>0.32307692307691127</v>
      </c>
      <c r="F5" s="23">
        <f t="shared" ref="F5:F15" si="1">E5/D5*100</f>
        <v>0.1868078103455876</v>
      </c>
    </row>
    <row r="6" spans="1:6" x14ac:dyDescent="0.3">
      <c r="A6" s="18">
        <v>2022</v>
      </c>
      <c r="B6" s="17" t="s">
        <v>39</v>
      </c>
      <c r="C6" s="24">
        <v>173.5230769230769</v>
      </c>
      <c r="D6" s="24">
        <v>173.26923076923077</v>
      </c>
      <c r="E6" s="22">
        <f t="shared" si="0"/>
        <v>0.2538461538461263</v>
      </c>
      <c r="F6" s="22">
        <f t="shared" si="1"/>
        <v>0.1465038845726811</v>
      </c>
    </row>
    <row r="7" spans="1:6" x14ac:dyDescent="0.3">
      <c r="A7" s="20">
        <v>2022</v>
      </c>
      <c r="B7" s="19" t="s">
        <v>40</v>
      </c>
      <c r="C7" s="25">
        <v>174.44615384615386</v>
      </c>
      <c r="D7" s="25">
        <v>173.5230769230769</v>
      </c>
      <c r="E7" s="23">
        <f t="shared" si="0"/>
        <v>0.92307692307696243</v>
      </c>
      <c r="F7" s="23">
        <f t="shared" si="1"/>
        <v>0.53196205337354874</v>
      </c>
    </row>
    <row r="8" spans="1:6" x14ac:dyDescent="0.3">
      <c r="A8" s="18">
        <v>2022</v>
      </c>
      <c r="B8" s="17" t="s">
        <v>41</v>
      </c>
      <c r="C8" s="24">
        <v>175.73076923076923</v>
      </c>
      <c r="D8" s="24">
        <v>174.44615384615386</v>
      </c>
      <c r="E8" s="22">
        <f t="shared" si="0"/>
        <v>1.2846153846153641</v>
      </c>
      <c r="F8" s="22">
        <f t="shared" si="1"/>
        <v>0.73639650762852682</v>
      </c>
    </row>
    <row r="9" spans="1:6" x14ac:dyDescent="0.3">
      <c r="A9" s="20">
        <v>2022</v>
      </c>
      <c r="B9" s="19" t="s">
        <v>43</v>
      </c>
      <c r="C9" s="25">
        <v>175.97692307692307</v>
      </c>
      <c r="D9" s="25">
        <v>175.73076923076923</v>
      </c>
      <c r="E9" s="23">
        <f t="shared" si="0"/>
        <v>0.24615384615384528</v>
      </c>
      <c r="F9" s="23">
        <f t="shared" si="1"/>
        <v>0.14007441453272002</v>
      </c>
    </row>
    <row r="10" spans="1:6" x14ac:dyDescent="0.3">
      <c r="A10" s="18">
        <v>2022</v>
      </c>
      <c r="B10" s="17" t="s">
        <v>44</v>
      </c>
      <c r="C10" s="24">
        <v>175.16153846153844</v>
      </c>
      <c r="D10" s="24">
        <v>175.97692307692307</v>
      </c>
      <c r="E10" s="22">
        <f t="shared" si="0"/>
        <v>-0.81538461538463025</v>
      </c>
      <c r="F10" s="22">
        <f t="shared" si="1"/>
        <v>-0.46334746688814937</v>
      </c>
    </row>
    <row r="11" spans="1:6" x14ac:dyDescent="0.3">
      <c r="A11" s="20">
        <v>2023</v>
      </c>
      <c r="B11" s="19" t="s">
        <v>29</v>
      </c>
      <c r="C11" s="25">
        <v>175.63076923076926</v>
      </c>
      <c r="D11" s="25">
        <v>175.16153846153844</v>
      </c>
      <c r="E11" s="23">
        <f t="shared" si="0"/>
        <v>0.46923076923081908</v>
      </c>
      <c r="F11" s="23">
        <f t="shared" si="1"/>
        <v>0.26788459004877468</v>
      </c>
    </row>
    <row r="12" spans="1:6" x14ac:dyDescent="0.3">
      <c r="A12" s="18">
        <v>2023</v>
      </c>
      <c r="B12" s="17" t="s">
        <v>33</v>
      </c>
      <c r="C12" s="24">
        <v>174.28461538461536</v>
      </c>
      <c r="D12" s="24">
        <v>175.63076923076926</v>
      </c>
      <c r="E12" s="22">
        <f t="shared" si="0"/>
        <v>-1.3461538461538964</v>
      </c>
      <c r="F12" s="22">
        <f t="shared" si="1"/>
        <v>-0.76646811492644751</v>
      </c>
    </row>
    <row r="13" spans="1:6" x14ac:dyDescent="0.3">
      <c r="A13" s="20">
        <v>2023</v>
      </c>
      <c r="B13" s="19" t="s">
        <v>34</v>
      </c>
      <c r="C13" s="25">
        <v>174.2923076923077</v>
      </c>
      <c r="D13" s="25">
        <v>174.28461538461536</v>
      </c>
      <c r="E13" s="23">
        <f t="shared" si="0"/>
        <v>7.692307692337863E-3</v>
      </c>
      <c r="F13" s="23">
        <f t="shared" si="1"/>
        <v>4.4136469965305302E-3</v>
      </c>
    </row>
    <row r="14" spans="1:6" x14ac:dyDescent="0.3">
      <c r="A14" s="18">
        <v>2023</v>
      </c>
      <c r="B14" s="17" t="s">
        <v>35</v>
      </c>
      <c r="C14" s="24">
        <v>174.93846153846152</v>
      </c>
      <c r="D14" s="24">
        <v>174.2923076923077</v>
      </c>
      <c r="E14" s="22">
        <f t="shared" si="0"/>
        <v>0.64615384615382254</v>
      </c>
      <c r="F14" s="22">
        <f t="shared" si="1"/>
        <v>0.37072998499424897</v>
      </c>
    </row>
    <row r="15" spans="1:6" x14ac:dyDescent="0.3">
      <c r="A15" s="28">
        <v>2023</v>
      </c>
      <c r="B15" s="29" t="s">
        <v>36</v>
      </c>
      <c r="C15" s="30">
        <v>176.20769230769235</v>
      </c>
      <c r="D15" s="30">
        <v>174.93846153846152</v>
      </c>
      <c r="E15" s="31">
        <f t="shared" si="0"/>
        <v>1.2692307692308304</v>
      </c>
      <c r="F15" s="31">
        <f t="shared" si="1"/>
        <v>0.72552985665292391</v>
      </c>
    </row>
    <row r="16" spans="1:6" x14ac:dyDescent="0.3">
      <c r="C16" s="21"/>
    </row>
    <row r="17" spans="1:6" x14ac:dyDescent="0.3">
      <c r="A17" s="117" t="s">
        <v>68</v>
      </c>
      <c r="B17" s="118"/>
      <c r="C17" s="118"/>
      <c r="D17" s="119"/>
    </row>
    <row r="18" spans="1:6" x14ac:dyDescent="0.3">
      <c r="A18" s="120"/>
      <c r="B18" s="121"/>
      <c r="C18" s="121"/>
      <c r="D18" s="122"/>
    </row>
    <row r="19" spans="1:6" x14ac:dyDescent="0.3">
      <c r="A19" s="123" t="s">
        <v>88</v>
      </c>
      <c r="B19" s="124"/>
      <c r="C19" s="124"/>
      <c r="D19" s="125"/>
    </row>
    <row r="20" spans="1:6" x14ac:dyDescent="0.3">
      <c r="A20" s="126" t="s">
        <v>89</v>
      </c>
      <c r="B20" s="61"/>
      <c r="C20" s="61"/>
      <c r="D20" s="127"/>
    </row>
    <row r="21" spans="1:6" x14ac:dyDescent="0.3">
      <c r="A21" s="128" t="s">
        <v>87</v>
      </c>
      <c r="B21" s="129"/>
      <c r="C21" s="129"/>
      <c r="D21" s="130"/>
    </row>
    <row r="22" spans="1:6" x14ac:dyDescent="0.3">
      <c r="E22" s="32"/>
    </row>
    <row r="30" spans="1:6" x14ac:dyDescent="0.3">
      <c r="A30" s="116" t="s">
        <v>90</v>
      </c>
      <c r="B30" s="116"/>
      <c r="C30" s="116"/>
      <c r="D30" s="116"/>
      <c r="E30" s="116"/>
      <c r="F30" s="116"/>
    </row>
    <row r="31" spans="1:6" x14ac:dyDescent="0.3">
      <c r="A31" s="116"/>
      <c r="B31" s="116"/>
      <c r="C31" s="116"/>
      <c r="D31" s="116"/>
      <c r="E31" s="116"/>
      <c r="F31" s="116"/>
    </row>
    <row r="32" spans="1:6" x14ac:dyDescent="0.3">
      <c r="A32" s="26" t="s">
        <v>1</v>
      </c>
      <c r="B32" s="26" t="s">
        <v>2</v>
      </c>
      <c r="C32" s="26" t="s">
        <v>85</v>
      </c>
      <c r="D32" s="26" t="s">
        <v>82</v>
      </c>
      <c r="E32" s="26" t="s">
        <v>83</v>
      </c>
      <c r="F32" s="27" t="s">
        <v>84</v>
      </c>
    </row>
    <row r="33" spans="1:6" x14ac:dyDescent="0.3">
      <c r="A33" s="18">
        <v>2022</v>
      </c>
      <c r="B33" s="17" t="s">
        <v>37</v>
      </c>
      <c r="C33" s="21">
        <v>175.96153846153845</v>
      </c>
      <c r="D33" s="21">
        <v>174.01538461538465</v>
      </c>
      <c r="E33" s="22">
        <f>C33-D33</f>
        <v>1.9461538461538055</v>
      </c>
      <c r="F33" s="22">
        <f>E33/D33*100</f>
        <v>1.1183803377243156</v>
      </c>
    </row>
    <row r="34" spans="1:6" x14ac:dyDescent="0.3">
      <c r="A34" s="20">
        <v>2022</v>
      </c>
      <c r="B34" s="19" t="s">
        <v>38</v>
      </c>
      <c r="C34" s="21">
        <v>176.27692307692308</v>
      </c>
      <c r="D34" s="21">
        <v>175.96153846153845</v>
      </c>
      <c r="E34" s="23">
        <f t="shared" ref="E34:E44" si="2">C34-D34</f>
        <v>0.31538461538463025</v>
      </c>
      <c r="F34" s="23">
        <f t="shared" ref="F34:F44" si="3">E34/D34*100</f>
        <v>0.17923497267760408</v>
      </c>
    </row>
    <row r="35" spans="1:6" x14ac:dyDescent="0.3">
      <c r="A35" s="18">
        <v>2022</v>
      </c>
      <c r="B35" s="17" t="s">
        <v>39</v>
      </c>
      <c r="C35" s="21">
        <v>176.43846153846152</v>
      </c>
      <c r="D35" s="21">
        <v>176.27692307692308</v>
      </c>
      <c r="E35" s="22">
        <f t="shared" si="2"/>
        <v>0.16153846153844142</v>
      </c>
      <c r="F35" s="22">
        <f t="shared" si="3"/>
        <v>9.1639029499028551E-2</v>
      </c>
    </row>
    <row r="36" spans="1:6" x14ac:dyDescent="0.3">
      <c r="A36" s="20">
        <v>2022</v>
      </c>
      <c r="B36" s="19" t="s">
        <v>40</v>
      </c>
      <c r="C36" s="21">
        <v>177.41538461538462</v>
      </c>
      <c r="D36" s="21">
        <v>176.43846153846152</v>
      </c>
      <c r="E36" s="23">
        <f t="shared" si="2"/>
        <v>0.9769230769231001</v>
      </c>
      <c r="F36" s="23">
        <f t="shared" si="3"/>
        <v>0.55369054366309034</v>
      </c>
    </row>
    <row r="37" spans="1:6" x14ac:dyDescent="0.3">
      <c r="A37" s="18">
        <v>2022</v>
      </c>
      <c r="B37" s="17" t="s">
        <v>41</v>
      </c>
      <c r="C37" s="21">
        <v>178.63846153846154</v>
      </c>
      <c r="D37" s="21">
        <v>177.41538461538462</v>
      </c>
      <c r="E37" s="22">
        <f t="shared" si="2"/>
        <v>1.223076923076917</v>
      </c>
      <c r="F37" s="22">
        <f t="shared" si="3"/>
        <v>0.68938605619146376</v>
      </c>
    </row>
    <row r="38" spans="1:6" x14ac:dyDescent="0.3">
      <c r="A38" s="20">
        <v>2022</v>
      </c>
      <c r="B38" s="19" t="s">
        <v>43</v>
      </c>
      <c r="C38" s="21">
        <v>178.03076923076924</v>
      </c>
      <c r="D38" s="21">
        <v>178.63846153846154</v>
      </c>
      <c r="E38" s="23">
        <f t="shared" si="2"/>
        <v>-0.60769230769230376</v>
      </c>
      <c r="F38" s="23">
        <f t="shared" si="3"/>
        <v>-0.34017999397149157</v>
      </c>
    </row>
    <row r="39" spans="1:6" x14ac:dyDescent="0.3">
      <c r="A39" s="18">
        <v>2022</v>
      </c>
      <c r="B39" s="17" t="s">
        <v>44</v>
      </c>
      <c r="C39" s="21">
        <v>176.59999999999997</v>
      </c>
      <c r="D39" s="21">
        <v>178.03076923076924</v>
      </c>
      <c r="E39" s="22">
        <f t="shared" si="2"/>
        <v>-1.4307692307692719</v>
      </c>
      <c r="F39" s="22">
        <f t="shared" si="3"/>
        <v>-0.80366401659179632</v>
      </c>
    </row>
    <row r="40" spans="1:6" x14ac:dyDescent="0.3">
      <c r="A40" s="20">
        <v>2023</v>
      </c>
      <c r="B40" s="19" t="s">
        <v>29</v>
      </c>
      <c r="C40" s="21">
        <v>177.70769230769233</v>
      </c>
      <c r="D40" s="21">
        <v>176.59999999999997</v>
      </c>
      <c r="E40" s="23">
        <f t="shared" si="2"/>
        <v>1.1076923076923606</v>
      </c>
      <c r="F40" s="23">
        <f t="shared" si="3"/>
        <v>0.62723233731164252</v>
      </c>
    </row>
    <row r="41" spans="1:6" x14ac:dyDescent="0.3">
      <c r="A41" s="18">
        <v>2023</v>
      </c>
      <c r="B41" s="17" t="s">
        <v>33</v>
      </c>
      <c r="C41" s="21">
        <v>177.16923076923075</v>
      </c>
      <c r="D41" s="21">
        <v>177.70769230769233</v>
      </c>
      <c r="E41" s="22">
        <f t="shared" si="2"/>
        <v>-0.53846153846157563</v>
      </c>
      <c r="F41" s="22">
        <f t="shared" si="3"/>
        <v>-0.30300406891180343</v>
      </c>
    </row>
    <row r="42" spans="1:6" x14ac:dyDescent="0.3">
      <c r="A42" s="20">
        <v>2023</v>
      </c>
      <c r="B42" s="19" t="s">
        <v>34</v>
      </c>
      <c r="C42" s="21">
        <v>177.1846153846154</v>
      </c>
      <c r="D42" s="21">
        <v>177.16923076923075</v>
      </c>
      <c r="E42" s="23">
        <f t="shared" si="2"/>
        <v>1.5384615384647304E-2</v>
      </c>
      <c r="F42" s="23">
        <f t="shared" si="3"/>
        <v>8.6835706842833867E-3</v>
      </c>
    </row>
    <row r="43" spans="1:6" x14ac:dyDescent="0.3">
      <c r="A43" s="18">
        <v>2023</v>
      </c>
      <c r="B43" s="17" t="s">
        <v>35</v>
      </c>
      <c r="C43" s="21">
        <v>178.28461538461539</v>
      </c>
      <c r="D43" s="21">
        <v>177.1846153846154</v>
      </c>
      <c r="E43" s="22">
        <f t="shared" si="2"/>
        <v>1.0999999999999943</v>
      </c>
      <c r="F43" s="22">
        <f t="shared" si="3"/>
        <v>0.62082139446035967</v>
      </c>
    </row>
    <row r="44" spans="1:6" x14ac:dyDescent="0.3">
      <c r="A44" s="28">
        <v>2023</v>
      </c>
      <c r="B44" s="29" t="s">
        <v>36</v>
      </c>
      <c r="C44" s="21">
        <v>179.62307692307692</v>
      </c>
      <c r="D44" s="21">
        <v>178.28461538461539</v>
      </c>
      <c r="E44" s="31">
        <f t="shared" si="2"/>
        <v>1.3384615384615302</v>
      </c>
      <c r="F44" s="31">
        <f t="shared" si="3"/>
        <v>0.75074427233895202</v>
      </c>
    </row>
    <row r="46" spans="1:6" x14ac:dyDescent="0.3">
      <c r="A46" s="117" t="s">
        <v>68</v>
      </c>
      <c r="B46" s="118"/>
      <c r="C46" s="118"/>
      <c r="D46" s="119"/>
    </row>
    <row r="47" spans="1:6" x14ac:dyDescent="0.3">
      <c r="A47" s="120"/>
      <c r="B47" s="121"/>
      <c r="C47" s="121"/>
      <c r="D47" s="122"/>
    </row>
    <row r="48" spans="1:6" x14ac:dyDescent="0.3">
      <c r="A48" s="123" t="s">
        <v>91</v>
      </c>
      <c r="B48" s="124"/>
      <c r="C48" s="124"/>
      <c r="D48" s="125"/>
    </row>
    <row r="49" spans="1:6" x14ac:dyDescent="0.3">
      <c r="A49" s="126" t="s">
        <v>92</v>
      </c>
      <c r="B49" s="61"/>
      <c r="C49" s="61"/>
      <c r="D49" s="127"/>
    </row>
    <row r="50" spans="1:6" x14ac:dyDescent="0.3">
      <c r="A50" s="128" t="s">
        <v>93</v>
      </c>
      <c r="B50" s="129"/>
      <c r="C50" s="129"/>
      <c r="D50" s="130"/>
    </row>
    <row r="59" spans="1:6" x14ac:dyDescent="0.3">
      <c r="A59" s="116" t="s">
        <v>94</v>
      </c>
      <c r="B59" s="116"/>
      <c r="C59" s="116"/>
      <c r="D59" s="116"/>
      <c r="E59" s="116"/>
      <c r="F59" s="116"/>
    </row>
    <row r="60" spans="1:6" x14ac:dyDescent="0.3">
      <c r="A60" s="116"/>
      <c r="B60" s="116"/>
      <c r="C60" s="116"/>
      <c r="D60" s="116"/>
      <c r="E60" s="116"/>
      <c r="F60" s="116"/>
    </row>
    <row r="61" spans="1:6" x14ac:dyDescent="0.3">
      <c r="A61" s="26" t="s">
        <v>1</v>
      </c>
      <c r="B61" s="26" t="s">
        <v>2</v>
      </c>
      <c r="C61" s="26" t="s">
        <v>85</v>
      </c>
      <c r="D61" s="26" t="s">
        <v>82</v>
      </c>
      <c r="E61" s="26" t="s">
        <v>83</v>
      </c>
      <c r="F61" s="27" t="s">
        <v>84</v>
      </c>
    </row>
    <row r="62" spans="1:6" x14ac:dyDescent="0.3">
      <c r="A62" s="18">
        <v>2022</v>
      </c>
      <c r="B62" s="17" t="s">
        <v>37</v>
      </c>
      <c r="C62" s="21">
        <v>173.99230769230769</v>
      </c>
      <c r="D62" s="21">
        <v>172.22307692307697</v>
      </c>
      <c r="E62" s="22">
        <f>C62-D62</f>
        <v>1.7692307692307168</v>
      </c>
      <c r="F62" s="22">
        <f>E62/D62*100</f>
        <v>1.0272901871454425</v>
      </c>
    </row>
    <row r="63" spans="1:6" x14ac:dyDescent="0.3">
      <c r="A63" s="20">
        <v>2022</v>
      </c>
      <c r="B63" s="19" t="s">
        <v>38</v>
      </c>
      <c r="C63" s="21">
        <v>174.33076923076925</v>
      </c>
      <c r="D63" s="21">
        <v>173.99230769230769</v>
      </c>
      <c r="E63" s="23">
        <f t="shared" ref="E63:E73" si="4">C63-D63</f>
        <v>0.33846153846155858</v>
      </c>
      <c r="F63" s="23">
        <f t="shared" ref="F63:F73" si="5">E63/D63*100</f>
        <v>0.19452672531943327</v>
      </c>
    </row>
    <row r="64" spans="1:6" x14ac:dyDescent="0.3">
      <c r="A64" s="18">
        <v>2022</v>
      </c>
      <c r="B64" s="17" t="s">
        <v>39</v>
      </c>
      <c r="C64" s="21">
        <v>174.55384615384617</v>
      </c>
      <c r="D64" s="21">
        <v>174.33076923076925</v>
      </c>
      <c r="E64" s="22">
        <f t="shared" si="4"/>
        <v>0.22307692307691696</v>
      </c>
      <c r="F64" s="22">
        <f t="shared" si="5"/>
        <v>0.12796187618585006</v>
      </c>
    </row>
    <row r="65" spans="1:6" x14ac:dyDescent="0.3">
      <c r="A65" s="20">
        <v>2022</v>
      </c>
      <c r="B65" s="19" t="s">
        <v>40</v>
      </c>
      <c r="C65" s="21">
        <v>175.45384615384617</v>
      </c>
      <c r="D65" s="21">
        <v>174.55384615384617</v>
      </c>
      <c r="E65" s="23">
        <f t="shared" si="4"/>
        <v>0.90000000000000568</v>
      </c>
      <c r="F65" s="23">
        <f t="shared" si="5"/>
        <v>0.51560021152829516</v>
      </c>
    </row>
    <row r="66" spans="1:6" x14ac:dyDescent="0.3">
      <c r="A66" s="18">
        <v>2022</v>
      </c>
      <c r="B66" s="17" t="s">
        <v>41</v>
      </c>
      <c r="C66" s="21">
        <v>176.71538461538464</v>
      </c>
      <c r="D66" s="21">
        <v>175.45384615384617</v>
      </c>
      <c r="E66" s="22">
        <f t="shared" si="4"/>
        <v>1.2615384615384642</v>
      </c>
      <c r="F66" s="22">
        <f t="shared" si="5"/>
        <v>0.71901442413082706</v>
      </c>
    </row>
    <row r="67" spans="1:6" x14ac:dyDescent="0.3">
      <c r="A67" s="20">
        <v>2022</v>
      </c>
      <c r="B67" s="19" t="s">
        <v>43</v>
      </c>
      <c r="C67" s="21">
        <v>176.67692307692309</v>
      </c>
      <c r="D67" s="21">
        <v>176.71538461538464</v>
      </c>
      <c r="E67" s="23">
        <f t="shared" si="4"/>
        <v>-3.8461538461547207E-2</v>
      </c>
      <c r="F67" s="23">
        <f t="shared" si="5"/>
        <v>-2.1764680276851682E-2</v>
      </c>
    </row>
    <row r="68" spans="1:6" x14ac:dyDescent="0.3">
      <c r="A68" s="18">
        <v>2022</v>
      </c>
      <c r="B68" s="17" t="s">
        <v>44</v>
      </c>
      <c r="C68" s="21">
        <v>175.64615384615385</v>
      </c>
      <c r="D68" s="21">
        <v>176.67692307692309</v>
      </c>
      <c r="E68" s="22">
        <f t="shared" si="4"/>
        <v>-1.0307692307692378</v>
      </c>
      <c r="F68" s="22">
        <f t="shared" si="5"/>
        <v>-0.58342041100662179</v>
      </c>
    </row>
    <row r="69" spans="1:6" x14ac:dyDescent="0.3">
      <c r="A69" s="20">
        <v>2023</v>
      </c>
      <c r="B69" s="19" t="s">
        <v>29</v>
      </c>
      <c r="C69" s="21">
        <v>176.36153846153846</v>
      </c>
      <c r="D69" s="21">
        <v>175.64615384615385</v>
      </c>
      <c r="E69" s="23">
        <f t="shared" si="4"/>
        <v>0.71538461538460751</v>
      </c>
      <c r="F69" s="23">
        <f t="shared" si="5"/>
        <v>0.40728737847069707</v>
      </c>
    </row>
    <row r="70" spans="1:6" x14ac:dyDescent="0.3">
      <c r="A70" s="18">
        <v>2023</v>
      </c>
      <c r="B70" s="17" t="s">
        <v>33</v>
      </c>
      <c r="C70" s="21">
        <v>175.3153846153846</v>
      </c>
      <c r="D70" s="21">
        <v>176.36153846153846</v>
      </c>
      <c r="E70" s="22">
        <f t="shared" si="4"/>
        <v>-1.0461538461538566</v>
      </c>
      <c r="F70" s="22">
        <f t="shared" si="5"/>
        <v>-0.59318707201117182</v>
      </c>
    </row>
    <row r="71" spans="1:6" x14ac:dyDescent="0.3">
      <c r="A71" s="20">
        <v>2023</v>
      </c>
      <c r="B71" s="19" t="s">
        <v>34</v>
      </c>
      <c r="C71" s="21">
        <v>175.32307692307691</v>
      </c>
      <c r="D71" s="21">
        <v>175.3153846153846</v>
      </c>
      <c r="E71" s="23">
        <f t="shared" si="4"/>
        <v>7.6923076923094413E-3</v>
      </c>
      <c r="F71" s="23">
        <f t="shared" si="5"/>
        <v>4.3876968978992913E-3</v>
      </c>
    </row>
    <row r="72" spans="1:6" x14ac:dyDescent="0.3">
      <c r="A72" s="18">
        <v>2023</v>
      </c>
      <c r="B72" s="17" t="s">
        <v>35</v>
      </c>
      <c r="C72" s="21">
        <v>176.12307692307695</v>
      </c>
      <c r="D72" s="21">
        <v>175.32307692307691</v>
      </c>
      <c r="E72" s="22">
        <f t="shared" si="4"/>
        <v>0.80000000000003979</v>
      </c>
      <c r="F72" s="22">
        <f t="shared" si="5"/>
        <v>0.456300456300479</v>
      </c>
    </row>
    <row r="73" spans="1:6" x14ac:dyDescent="0.3">
      <c r="A73" s="28">
        <v>2023</v>
      </c>
      <c r="B73" s="29" t="s">
        <v>36</v>
      </c>
      <c r="C73" s="21">
        <v>177.45384615384617</v>
      </c>
      <c r="D73" s="21">
        <v>176.12307692307695</v>
      </c>
      <c r="E73" s="31">
        <f t="shared" si="4"/>
        <v>1.3307692307692207</v>
      </c>
      <c r="F73" s="31">
        <f t="shared" si="5"/>
        <v>0.75559049615652807</v>
      </c>
    </row>
    <row r="75" spans="1:6" x14ac:dyDescent="0.3">
      <c r="A75" s="117" t="s">
        <v>68</v>
      </c>
      <c r="B75" s="118"/>
      <c r="C75" s="118"/>
      <c r="D75" s="119"/>
    </row>
    <row r="76" spans="1:6" x14ac:dyDescent="0.3">
      <c r="A76" s="120"/>
      <c r="B76" s="121"/>
      <c r="C76" s="121"/>
      <c r="D76" s="122"/>
    </row>
    <row r="77" spans="1:6" x14ac:dyDescent="0.3">
      <c r="A77" s="123" t="s">
        <v>95</v>
      </c>
      <c r="B77" s="124"/>
      <c r="C77" s="124"/>
      <c r="D77" s="125"/>
    </row>
    <row r="78" spans="1:6" x14ac:dyDescent="0.3">
      <c r="A78" s="126" t="s">
        <v>96</v>
      </c>
      <c r="B78" s="61"/>
      <c r="C78" s="61"/>
      <c r="D78" s="127"/>
    </row>
    <row r="79" spans="1:6" x14ac:dyDescent="0.3">
      <c r="A79" s="128" t="s">
        <v>97</v>
      </c>
      <c r="B79" s="129"/>
      <c r="C79" s="129"/>
      <c r="D79" s="130"/>
    </row>
  </sheetData>
  <mergeCells count="15">
    <mergeCell ref="A77:D77"/>
    <mergeCell ref="A78:D78"/>
    <mergeCell ref="A79:D79"/>
    <mergeCell ref="A46:D47"/>
    <mergeCell ref="A48:D48"/>
    <mergeCell ref="A49:D49"/>
    <mergeCell ref="A50:D50"/>
    <mergeCell ref="A59:F60"/>
    <mergeCell ref="A75:D76"/>
    <mergeCell ref="A30:F31"/>
    <mergeCell ref="A1:F2"/>
    <mergeCell ref="A17:D18"/>
    <mergeCell ref="A19:D19"/>
    <mergeCell ref="A20:D20"/>
    <mergeCell ref="A21:D21"/>
  </mergeCells>
  <pageMargins left="0.7" right="0.7" top="0.75" bottom="0.75" header="0.3" footer="0.3"/>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24DA2-1982-4966-B224-F961FD521E53}">
  <dimension ref="A1:K85"/>
  <sheetViews>
    <sheetView zoomScaleNormal="100" workbookViewId="0">
      <selection activeCell="J28" sqref="J28"/>
    </sheetView>
  </sheetViews>
  <sheetFormatPr defaultRowHeight="14.4" x14ac:dyDescent="0.3"/>
  <cols>
    <col min="3" max="3" width="21.6640625" customWidth="1"/>
    <col min="4" max="4" width="19.33203125" customWidth="1"/>
    <col min="6" max="6" width="20.77734375" customWidth="1"/>
    <col min="7" max="7" width="17" customWidth="1"/>
    <col min="8" max="8" width="29.33203125" customWidth="1"/>
    <col min="10" max="10" width="10.109375" bestFit="1" customWidth="1"/>
    <col min="11" max="11" width="14.109375" customWidth="1"/>
  </cols>
  <sheetData>
    <row r="1" spans="1:10" x14ac:dyDescent="0.3">
      <c r="A1" s="157" t="s">
        <v>108</v>
      </c>
      <c r="B1" s="158"/>
      <c r="C1" s="158"/>
      <c r="D1" s="158"/>
      <c r="E1" s="158"/>
      <c r="F1" s="158"/>
      <c r="G1" s="158"/>
      <c r="H1" s="158"/>
    </row>
    <row r="2" spans="1:10" x14ac:dyDescent="0.3">
      <c r="A2" s="158"/>
      <c r="B2" s="158"/>
      <c r="C2" s="158"/>
      <c r="D2" s="158"/>
      <c r="E2" s="158"/>
      <c r="F2" s="158"/>
      <c r="G2" s="158"/>
      <c r="H2" s="158"/>
    </row>
    <row r="3" spans="1:10" x14ac:dyDescent="0.3">
      <c r="A3" s="35" t="s">
        <v>1</v>
      </c>
      <c r="B3" s="35" t="s">
        <v>2</v>
      </c>
      <c r="C3" s="35" t="s">
        <v>98</v>
      </c>
      <c r="D3" s="35" t="s">
        <v>99</v>
      </c>
      <c r="E3" s="35" t="s">
        <v>22</v>
      </c>
      <c r="F3" s="35" t="s">
        <v>100</v>
      </c>
      <c r="G3" s="35" t="s">
        <v>102</v>
      </c>
      <c r="H3" s="35" t="s">
        <v>101</v>
      </c>
    </row>
    <row r="4" spans="1:10" x14ac:dyDescent="0.3">
      <c r="A4">
        <v>2016</v>
      </c>
      <c r="B4" s="33" t="s">
        <v>34</v>
      </c>
      <c r="C4">
        <v>1682.7000000000003</v>
      </c>
      <c r="D4" s="4"/>
      <c r="E4">
        <v>124.8</v>
      </c>
      <c r="G4">
        <v>630.19999999999993</v>
      </c>
    </row>
    <row r="5" spans="1:10" x14ac:dyDescent="0.3">
      <c r="A5">
        <v>2017</v>
      </c>
      <c r="B5" s="33" t="s">
        <v>34</v>
      </c>
      <c r="C5">
        <v>1728.5</v>
      </c>
      <c r="D5" s="34">
        <f>(C5/C4)-1</f>
        <v>2.7218161288405263E-2</v>
      </c>
      <c r="E5">
        <v>130.6</v>
      </c>
      <c r="F5" s="34">
        <f>(E5/E4)-1</f>
        <v>4.6474358974359031E-2</v>
      </c>
      <c r="G5">
        <v>664.89999999999986</v>
      </c>
      <c r="H5" s="34">
        <f>(G5/G4)-1</f>
        <v>5.5061885115836207E-2</v>
      </c>
      <c r="J5" s="34"/>
    </row>
    <row r="6" spans="1:10" x14ac:dyDescent="0.3">
      <c r="A6">
        <v>2018</v>
      </c>
      <c r="B6" s="33" t="s">
        <v>34</v>
      </c>
      <c r="C6">
        <v>1781.9999999999998</v>
      </c>
      <c r="D6" s="34">
        <f t="shared" ref="D6:D11" si="0">(C6/C5)-1</f>
        <v>3.0951692218686544E-2</v>
      </c>
      <c r="E6">
        <v>136.69999999999999</v>
      </c>
      <c r="F6" s="34">
        <f t="shared" ref="F6:F11" si="1">(E6/E5)-1</f>
        <v>4.6707503828483876E-2</v>
      </c>
      <c r="G6">
        <v>699</v>
      </c>
      <c r="H6" s="34">
        <f t="shared" ref="H6:H11" si="2">(G6/G5)-1</f>
        <v>5.1285907655286733E-2</v>
      </c>
    </row>
    <row r="7" spans="1:10" x14ac:dyDescent="0.3">
      <c r="A7">
        <v>2019</v>
      </c>
      <c r="B7" s="33" t="s">
        <v>34</v>
      </c>
      <c r="C7">
        <v>1761.2000000000003</v>
      </c>
      <c r="D7" s="34">
        <f t="shared" si="0"/>
        <v>-1.1672278338944686E-2</v>
      </c>
      <c r="E7">
        <v>150.4</v>
      </c>
      <c r="F7" s="34">
        <f t="shared" si="1"/>
        <v>0.10021945866861759</v>
      </c>
      <c r="G7">
        <v>732.6</v>
      </c>
      <c r="H7" s="34">
        <f t="shared" si="2"/>
        <v>4.8068669527897123E-2</v>
      </c>
    </row>
    <row r="8" spans="1:10" x14ac:dyDescent="0.3">
      <c r="A8">
        <v>2020</v>
      </c>
      <c r="B8" s="33" t="s">
        <v>34</v>
      </c>
      <c r="C8">
        <v>1894.5999999999997</v>
      </c>
      <c r="D8" s="34">
        <f t="shared" si="0"/>
        <v>7.5743811037928266E-2</v>
      </c>
      <c r="E8">
        <v>156.69999999999999</v>
      </c>
      <c r="F8" s="34">
        <f t="shared" si="1"/>
        <v>4.1888297872340274E-2</v>
      </c>
      <c r="G8">
        <v>755.3</v>
      </c>
      <c r="H8" s="34">
        <f t="shared" si="2"/>
        <v>3.0985530985530918E-2</v>
      </c>
    </row>
    <row r="9" spans="1:10" x14ac:dyDescent="0.3">
      <c r="A9">
        <v>2021</v>
      </c>
      <c r="B9" s="33" t="s">
        <v>34</v>
      </c>
      <c r="C9">
        <v>2025.7</v>
      </c>
      <c r="D9" s="34">
        <f t="shared" si="0"/>
        <v>6.9196664203525993E-2</v>
      </c>
      <c r="E9">
        <v>164.6</v>
      </c>
      <c r="F9" s="34">
        <f t="shared" si="1"/>
        <v>5.0414805360561532E-2</v>
      </c>
      <c r="G9">
        <v>785.5</v>
      </c>
      <c r="H9" s="34">
        <f t="shared" si="2"/>
        <v>3.9984112273268924E-2</v>
      </c>
    </row>
    <row r="10" spans="1:10" x14ac:dyDescent="0.3">
      <c r="A10">
        <v>2022</v>
      </c>
      <c r="B10" s="33" t="s">
        <v>34</v>
      </c>
      <c r="C10">
        <v>2179.1000000000004</v>
      </c>
      <c r="D10" s="34">
        <f t="shared" si="0"/>
        <v>7.5726909216567329E-2</v>
      </c>
      <c r="E10">
        <v>176</v>
      </c>
      <c r="F10" s="34">
        <f t="shared" si="1"/>
        <v>6.925880923450789E-2</v>
      </c>
      <c r="G10">
        <v>843.4</v>
      </c>
      <c r="H10" s="34">
        <f t="shared" si="2"/>
        <v>7.3711012094207495E-2</v>
      </c>
    </row>
    <row r="11" spans="1:10" x14ac:dyDescent="0.3">
      <c r="A11">
        <v>2023</v>
      </c>
      <c r="B11" s="33" t="s">
        <v>34</v>
      </c>
      <c r="C11">
        <v>2265.8000000000002</v>
      </c>
      <c r="D11" s="34">
        <f t="shared" si="0"/>
        <v>3.9787068055619157E-2</v>
      </c>
      <c r="E11">
        <v>186.6</v>
      </c>
      <c r="F11" s="34">
        <f t="shared" si="1"/>
        <v>6.0227272727272796E-2</v>
      </c>
      <c r="G11">
        <v>897.5</v>
      </c>
      <c r="H11" s="34">
        <f t="shared" si="2"/>
        <v>6.4145126867441338E-2</v>
      </c>
    </row>
    <row r="14" spans="1:10" x14ac:dyDescent="0.3">
      <c r="J14" s="32"/>
    </row>
    <row r="15" spans="1:10" x14ac:dyDescent="0.3">
      <c r="J15" s="32"/>
    </row>
    <row r="16" spans="1:10" x14ac:dyDescent="0.3">
      <c r="J16" s="32"/>
    </row>
    <row r="17" spans="1:11" ht="14.4" customHeight="1" x14ac:dyDescent="0.3">
      <c r="H17" s="159" t="s">
        <v>68</v>
      </c>
      <c r="I17" s="160"/>
      <c r="J17" s="160"/>
      <c r="K17" s="161"/>
    </row>
    <row r="18" spans="1:11" ht="14.4" customHeight="1" x14ac:dyDescent="0.3">
      <c r="H18" s="162"/>
      <c r="I18" s="163"/>
      <c r="J18" s="163"/>
      <c r="K18" s="164"/>
    </row>
    <row r="19" spans="1:11" ht="14.4" customHeight="1" x14ac:dyDescent="0.3">
      <c r="H19" s="165"/>
      <c r="I19" s="166"/>
      <c r="J19" s="166"/>
      <c r="K19" s="167"/>
    </row>
    <row r="20" spans="1:11" x14ac:dyDescent="0.3">
      <c r="H20" s="36" t="s">
        <v>103</v>
      </c>
      <c r="I20" s="39"/>
      <c r="J20" s="39"/>
      <c r="K20" s="40"/>
    </row>
    <row r="21" spans="1:11" x14ac:dyDescent="0.3">
      <c r="H21" s="37" t="s">
        <v>104</v>
      </c>
      <c r="I21" s="32"/>
      <c r="J21" s="32"/>
      <c r="K21" s="41"/>
    </row>
    <row r="22" spans="1:11" x14ac:dyDescent="0.3">
      <c r="H22" s="37" t="s">
        <v>105</v>
      </c>
      <c r="I22" s="32"/>
      <c r="J22" s="32"/>
      <c r="K22" s="41"/>
    </row>
    <row r="23" spans="1:11" x14ac:dyDescent="0.3">
      <c r="H23" s="37" t="s">
        <v>106</v>
      </c>
      <c r="I23" s="32"/>
      <c r="J23" s="32"/>
      <c r="K23" s="41"/>
    </row>
    <row r="24" spans="1:11" x14ac:dyDescent="0.3">
      <c r="H24" s="38" t="s">
        <v>107</v>
      </c>
      <c r="I24" s="42"/>
      <c r="J24" s="42"/>
      <c r="K24" s="43"/>
    </row>
    <row r="30" spans="1:11" x14ac:dyDescent="0.3">
      <c r="A30" s="157" t="s">
        <v>109</v>
      </c>
      <c r="B30" s="158"/>
      <c r="C30" s="158"/>
      <c r="D30" s="158"/>
      <c r="E30" s="158"/>
      <c r="F30" s="158"/>
      <c r="G30" s="158"/>
      <c r="H30" s="158"/>
    </row>
    <row r="31" spans="1:11" x14ac:dyDescent="0.3">
      <c r="A31" s="158"/>
      <c r="B31" s="158"/>
      <c r="C31" s="158"/>
      <c r="D31" s="158"/>
      <c r="E31" s="158"/>
      <c r="F31" s="158"/>
      <c r="G31" s="158"/>
      <c r="H31" s="158"/>
    </row>
    <row r="32" spans="1:11" x14ac:dyDescent="0.3">
      <c r="A32" s="35" t="s">
        <v>1</v>
      </c>
      <c r="B32" s="35" t="s">
        <v>2</v>
      </c>
      <c r="C32" s="35" t="s">
        <v>98</v>
      </c>
      <c r="D32" s="35" t="s">
        <v>99</v>
      </c>
      <c r="E32" s="35" t="s">
        <v>22</v>
      </c>
      <c r="F32" s="35" t="s">
        <v>100</v>
      </c>
      <c r="G32" s="35" t="s">
        <v>102</v>
      </c>
      <c r="H32" s="35" t="s">
        <v>101</v>
      </c>
    </row>
    <row r="33" spans="1:11" x14ac:dyDescent="0.3">
      <c r="A33">
        <v>2016</v>
      </c>
      <c r="B33" s="33" t="s">
        <v>34</v>
      </c>
      <c r="C33" s="21">
        <v>1667.6000000000001</v>
      </c>
      <c r="D33" s="4"/>
      <c r="E33">
        <v>119.7</v>
      </c>
      <c r="G33">
        <v>598.4</v>
      </c>
    </row>
    <row r="34" spans="1:11" x14ac:dyDescent="0.3">
      <c r="A34">
        <v>2017</v>
      </c>
      <c r="B34" s="33" t="s">
        <v>34</v>
      </c>
      <c r="C34" s="21">
        <v>1705.6999999999998</v>
      </c>
      <c r="D34" s="34">
        <f>(C34/C33)-1</f>
        <v>2.2847205564883399E-2</v>
      </c>
      <c r="E34">
        <v>123.1</v>
      </c>
      <c r="F34" s="34">
        <f>(E34/E33)-1</f>
        <v>2.8404344193817765E-2</v>
      </c>
      <c r="G34">
        <v>625.60000000000014</v>
      </c>
      <c r="H34" s="34">
        <f>(G34/G33)-1</f>
        <v>4.5454545454545636E-2</v>
      </c>
    </row>
    <row r="35" spans="1:11" x14ac:dyDescent="0.3">
      <c r="A35">
        <v>2018</v>
      </c>
      <c r="B35" s="33" t="s">
        <v>34</v>
      </c>
      <c r="C35" s="21">
        <v>1715.5</v>
      </c>
      <c r="D35" s="34">
        <f t="shared" ref="D35:D40" si="3">(C35/C34)-1</f>
        <v>5.7454417541187297E-3</v>
      </c>
      <c r="E35">
        <v>130.5</v>
      </c>
      <c r="F35" s="34">
        <f t="shared" ref="F35:F40" si="4">(E35/E34)-1</f>
        <v>6.0113728675873279E-2</v>
      </c>
      <c r="G35">
        <v>649.5</v>
      </c>
      <c r="H35" s="34">
        <f t="shared" ref="H35:H40" si="5">(G35/G34)-1</f>
        <v>3.8203324808183892E-2</v>
      </c>
    </row>
    <row r="36" spans="1:11" x14ac:dyDescent="0.3">
      <c r="A36">
        <v>2019</v>
      </c>
      <c r="B36" s="33" t="s">
        <v>34</v>
      </c>
      <c r="C36" s="21">
        <v>1768.4</v>
      </c>
      <c r="D36" s="34">
        <f t="shared" si="3"/>
        <v>3.0836490819003304E-2</v>
      </c>
      <c r="E36">
        <v>139.19999999999999</v>
      </c>
      <c r="F36" s="34">
        <f t="shared" si="4"/>
        <v>6.6666666666666652E-2</v>
      </c>
      <c r="G36">
        <v>675.7</v>
      </c>
      <c r="H36" s="34">
        <f t="shared" si="5"/>
        <v>4.0338722093918422E-2</v>
      </c>
    </row>
    <row r="37" spans="1:11" x14ac:dyDescent="0.3">
      <c r="A37">
        <v>2020</v>
      </c>
      <c r="B37" s="33" t="s">
        <v>34</v>
      </c>
      <c r="C37" s="21">
        <v>1898.5</v>
      </c>
      <c r="D37" s="34">
        <f t="shared" si="3"/>
        <v>7.3569328206288143E-2</v>
      </c>
      <c r="E37">
        <v>145</v>
      </c>
      <c r="F37" s="34">
        <f t="shared" si="4"/>
        <v>4.1666666666666741E-2</v>
      </c>
      <c r="G37">
        <v>707</v>
      </c>
      <c r="H37" s="34">
        <f t="shared" si="5"/>
        <v>4.6322332396033783E-2</v>
      </c>
    </row>
    <row r="38" spans="1:11" x14ac:dyDescent="0.3">
      <c r="A38">
        <v>2021</v>
      </c>
      <c r="B38" s="33" t="s">
        <v>34</v>
      </c>
      <c r="C38" s="21">
        <v>2064.4999999999995</v>
      </c>
      <c r="D38" s="34">
        <f t="shared" si="3"/>
        <v>8.7437450618909507E-2</v>
      </c>
      <c r="E38">
        <v>156.9</v>
      </c>
      <c r="F38" s="34">
        <f t="shared" si="4"/>
        <v>8.2068965517241521E-2</v>
      </c>
      <c r="G38">
        <v>756.4</v>
      </c>
      <c r="H38" s="34">
        <f t="shared" si="5"/>
        <v>6.9872701555869776E-2</v>
      </c>
    </row>
    <row r="39" spans="1:11" x14ac:dyDescent="0.3">
      <c r="A39">
        <v>2022</v>
      </c>
      <c r="B39" s="33" t="s">
        <v>34</v>
      </c>
      <c r="C39" s="21">
        <v>2196.3000000000002</v>
      </c>
      <c r="D39" s="34">
        <f t="shared" si="3"/>
        <v>6.3841123758779705E-2</v>
      </c>
      <c r="E39">
        <v>168.2</v>
      </c>
      <c r="F39" s="34">
        <f t="shared" si="4"/>
        <v>7.2020395156150219E-2</v>
      </c>
      <c r="G39">
        <v>807.10000000000014</v>
      </c>
      <c r="H39" s="34">
        <f t="shared" si="5"/>
        <v>6.7028027498678089E-2</v>
      </c>
    </row>
    <row r="40" spans="1:11" x14ac:dyDescent="0.3">
      <c r="A40">
        <v>2023</v>
      </c>
      <c r="B40" s="33" t="s">
        <v>34</v>
      </c>
      <c r="C40" s="21">
        <v>2303.4</v>
      </c>
      <c r="D40" s="34">
        <f t="shared" si="3"/>
        <v>4.8763830077858117E-2</v>
      </c>
      <c r="E40">
        <v>180.8</v>
      </c>
      <c r="F40" s="34">
        <f t="shared" si="4"/>
        <v>7.4910820451843163E-2</v>
      </c>
      <c r="G40">
        <v>864.3</v>
      </c>
      <c r="H40" s="34">
        <f t="shared" si="5"/>
        <v>7.0871019700160742E-2</v>
      </c>
    </row>
    <row r="42" spans="1:11" x14ac:dyDescent="0.3">
      <c r="H42" s="142" t="s">
        <v>115</v>
      </c>
      <c r="I42" s="143"/>
      <c r="J42" s="143"/>
      <c r="K42" s="144"/>
    </row>
    <row r="43" spans="1:11" x14ac:dyDescent="0.3">
      <c r="H43" s="145"/>
      <c r="I43" s="146"/>
      <c r="J43" s="146"/>
      <c r="K43" s="147"/>
    </row>
    <row r="44" spans="1:11" x14ac:dyDescent="0.3">
      <c r="H44" s="154"/>
      <c r="I44" s="155"/>
      <c r="J44" s="155"/>
      <c r="K44" s="156"/>
    </row>
    <row r="45" spans="1:11" x14ac:dyDescent="0.3">
      <c r="H45" s="168" t="s">
        <v>110</v>
      </c>
      <c r="I45" s="169"/>
      <c r="J45" s="169"/>
      <c r="K45" s="170"/>
    </row>
    <row r="46" spans="1:11" x14ac:dyDescent="0.3">
      <c r="H46" s="171"/>
      <c r="I46" s="172"/>
      <c r="J46" s="172"/>
      <c r="K46" s="173"/>
    </row>
    <row r="47" spans="1:11" x14ac:dyDescent="0.3">
      <c r="H47" s="131" t="s">
        <v>111</v>
      </c>
      <c r="I47" s="132"/>
      <c r="J47" s="132"/>
      <c r="K47" s="133"/>
    </row>
    <row r="48" spans="1:11" x14ac:dyDescent="0.3">
      <c r="H48" s="131"/>
      <c r="I48" s="132"/>
      <c r="J48" s="132"/>
      <c r="K48" s="133"/>
    </row>
    <row r="49" spans="1:11" x14ac:dyDescent="0.3">
      <c r="H49" s="131" t="s">
        <v>112</v>
      </c>
      <c r="I49" s="132"/>
      <c r="J49" s="132"/>
      <c r="K49" s="133"/>
    </row>
    <row r="50" spans="1:11" x14ac:dyDescent="0.3">
      <c r="H50" s="131"/>
      <c r="I50" s="132"/>
      <c r="J50" s="132"/>
      <c r="K50" s="133"/>
    </row>
    <row r="51" spans="1:11" x14ac:dyDescent="0.3">
      <c r="H51" s="174" t="s">
        <v>114</v>
      </c>
      <c r="I51" s="175"/>
      <c r="J51" s="175"/>
      <c r="K51" s="176"/>
    </row>
    <row r="52" spans="1:11" x14ac:dyDescent="0.3">
      <c r="H52" s="174"/>
      <c r="I52" s="175"/>
      <c r="J52" s="175"/>
      <c r="K52" s="176"/>
    </row>
    <row r="53" spans="1:11" x14ac:dyDescent="0.3">
      <c r="H53" s="131" t="s">
        <v>113</v>
      </c>
      <c r="I53" s="132"/>
      <c r="J53" s="132"/>
      <c r="K53" s="133"/>
    </row>
    <row r="54" spans="1:11" x14ac:dyDescent="0.3">
      <c r="H54" s="151"/>
      <c r="I54" s="152"/>
      <c r="J54" s="152"/>
      <c r="K54" s="153"/>
    </row>
    <row r="59" spans="1:11" x14ac:dyDescent="0.3">
      <c r="A59" s="140" t="s">
        <v>116</v>
      </c>
      <c r="B59" s="141"/>
      <c r="C59" s="141"/>
      <c r="D59" s="141"/>
      <c r="E59" s="141"/>
      <c r="F59" s="141"/>
      <c r="G59" s="141"/>
      <c r="H59" s="141"/>
    </row>
    <row r="60" spans="1:11" x14ac:dyDescent="0.3">
      <c r="A60" s="141"/>
      <c r="B60" s="141"/>
      <c r="C60" s="141"/>
      <c r="D60" s="141"/>
      <c r="E60" s="141"/>
      <c r="F60" s="141"/>
      <c r="G60" s="141"/>
      <c r="H60" s="141"/>
    </row>
    <row r="61" spans="1:11" x14ac:dyDescent="0.3">
      <c r="A61" s="35" t="s">
        <v>1</v>
      </c>
      <c r="B61" s="35" t="s">
        <v>2</v>
      </c>
      <c r="C61" s="35" t="s">
        <v>98</v>
      </c>
      <c r="D61" s="35" t="s">
        <v>99</v>
      </c>
      <c r="E61" s="35" t="s">
        <v>22</v>
      </c>
      <c r="F61" s="35" t="s">
        <v>100</v>
      </c>
      <c r="G61" s="35" t="s">
        <v>102</v>
      </c>
      <c r="H61" s="35" t="s">
        <v>101</v>
      </c>
    </row>
    <row r="62" spans="1:11" x14ac:dyDescent="0.3">
      <c r="A62">
        <v>2016</v>
      </c>
      <c r="B62" s="33" t="s">
        <v>34</v>
      </c>
      <c r="C62">
        <v>1675.2</v>
      </c>
      <c r="D62" s="4"/>
      <c r="E62">
        <v>122.9</v>
      </c>
      <c r="G62">
        <v>616.6</v>
      </c>
    </row>
    <row r="63" spans="1:11" x14ac:dyDescent="0.3">
      <c r="A63">
        <v>2017</v>
      </c>
      <c r="B63" s="33" t="s">
        <v>34</v>
      </c>
      <c r="C63">
        <v>1718.9</v>
      </c>
      <c r="D63" s="34">
        <f>(C63/C62)-1</f>
        <v>2.6086437440305588E-2</v>
      </c>
      <c r="E63">
        <v>127.8</v>
      </c>
      <c r="F63" s="34">
        <f>(E63/E62)-1</f>
        <v>3.9869812855980458E-2</v>
      </c>
      <c r="G63">
        <v>647.90000000000009</v>
      </c>
      <c r="H63" s="34">
        <f>(G63/G62)-1</f>
        <v>5.0762244566980419E-2</v>
      </c>
    </row>
    <row r="64" spans="1:11" x14ac:dyDescent="0.3">
      <c r="A64">
        <v>2018</v>
      </c>
      <c r="B64" s="33" t="s">
        <v>34</v>
      </c>
      <c r="C64">
        <v>1756</v>
      </c>
      <c r="D64" s="34">
        <f t="shared" ref="D64:D69" si="6">(C64/C63)-1</f>
        <v>2.1583570888358716E-2</v>
      </c>
      <c r="E64">
        <v>134.30000000000001</v>
      </c>
      <c r="F64" s="34">
        <f t="shared" ref="F64:F69" si="7">(E64/E63)-1</f>
        <v>5.0860719874804561E-2</v>
      </c>
      <c r="G64">
        <v>677.2</v>
      </c>
      <c r="H64" s="34">
        <f t="shared" ref="H64:H69" si="8">(G64/G63)-1</f>
        <v>4.5223028245099384E-2</v>
      </c>
    </row>
    <row r="65" spans="1:11" x14ac:dyDescent="0.3">
      <c r="A65">
        <v>2019</v>
      </c>
      <c r="B65" s="33" t="s">
        <v>34</v>
      </c>
      <c r="C65">
        <v>1762.9</v>
      </c>
      <c r="D65" s="34">
        <f t="shared" si="6"/>
        <v>3.9293849658315061E-3</v>
      </c>
      <c r="E65">
        <v>146.19999999999999</v>
      </c>
      <c r="F65" s="34">
        <f t="shared" si="7"/>
        <v>8.8607594936708667E-2</v>
      </c>
      <c r="G65">
        <v>706.3</v>
      </c>
      <c r="H65" s="34">
        <f t="shared" si="8"/>
        <v>4.297105729474282E-2</v>
      </c>
    </row>
    <row r="66" spans="1:11" x14ac:dyDescent="0.3">
      <c r="A66">
        <v>2020</v>
      </c>
      <c r="B66" s="33" t="s">
        <v>34</v>
      </c>
      <c r="C66">
        <v>1895.4</v>
      </c>
      <c r="D66" s="34">
        <f t="shared" si="6"/>
        <v>7.5160247319757234E-2</v>
      </c>
      <c r="E66">
        <v>152.30000000000001</v>
      </c>
      <c r="F66" s="34">
        <f t="shared" si="7"/>
        <v>4.1723666210670363E-2</v>
      </c>
      <c r="G66">
        <v>732.5</v>
      </c>
      <c r="H66" s="34">
        <f t="shared" si="8"/>
        <v>3.7094718957950024E-2</v>
      </c>
    </row>
    <row r="67" spans="1:11" x14ac:dyDescent="0.3">
      <c r="A67">
        <v>2021</v>
      </c>
      <c r="B67" s="33" t="s">
        <v>34</v>
      </c>
      <c r="C67">
        <v>2039.3999999999999</v>
      </c>
      <c r="D67" s="34">
        <f t="shared" si="6"/>
        <v>7.5973409306742568E-2</v>
      </c>
      <c r="E67">
        <v>161.69999999999999</v>
      </c>
      <c r="F67" s="34">
        <f t="shared" si="7"/>
        <v>6.1720288903479803E-2</v>
      </c>
      <c r="G67">
        <v>770.90000000000009</v>
      </c>
      <c r="H67" s="34">
        <f t="shared" si="8"/>
        <v>5.2423208191126447E-2</v>
      </c>
    </row>
    <row r="68" spans="1:11" x14ac:dyDescent="0.3">
      <c r="A68">
        <v>2022</v>
      </c>
      <c r="B68" s="33" t="s">
        <v>34</v>
      </c>
      <c r="C68">
        <v>2184.2000000000003</v>
      </c>
      <c r="D68" s="34">
        <f t="shared" si="6"/>
        <v>7.1001274884770149E-2</v>
      </c>
      <c r="E68">
        <v>173</v>
      </c>
      <c r="F68" s="34">
        <f t="shared" si="7"/>
        <v>6.9882498453927022E-2</v>
      </c>
      <c r="G68">
        <v>826</v>
      </c>
      <c r="H68" s="34">
        <f t="shared" si="8"/>
        <v>7.1474899468153996E-2</v>
      </c>
    </row>
    <row r="69" spans="1:11" x14ac:dyDescent="0.3">
      <c r="A69">
        <v>2023</v>
      </c>
      <c r="B69" s="33" t="s">
        <v>34</v>
      </c>
      <c r="C69">
        <v>2279.1999999999998</v>
      </c>
      <c r="D69" s="34">
        <f t="shared" si="6"/>
        <v>4.3494185514146855E-2</v>
      </c>
      <c r="E69">
        <v>184.4</v>
      </c>
      <c r="F69" s="34">
        <f t="shared" si="7"/>
        <v>6.5895953757225456E-2</v>
      </c>
      <c r="G69">
        <v>881.40000000000009</v>
      </c>
      <c r="H69" s="34">
        <f t="shared" si="8"/>
        <v>6.7070217917675645E-2</v>
      </c>
    </row>
    <row r="71" spans="1:11" x14ac:dyDescent="0.3">
      <c r="H71" s="142" t="s">
        <v>115</v>
      </c>
      <c r="I71" s="143"/>
      <c r="J71" s="143"/>
      <c r="K71" s="144"/>
    </row>
    <row r="72" spans="1:11" x14ac:dyDescent="0.3">
      <c r="H72" s="145"/>
      <c r="I72" s="146"/>
      <c r="J72" s="146"/>
      <c r="K72" s="147"/>
    </row>
    <row r="73" spans="1:11" x14ac:dyDescent="0.3">
      <c r="H73" s="145"/>
      <c r="I73" s="146"/>
      <c r="J73" s="146"/>
      <c r="K73" s="147"/>
    </row>
    <row r="74" spans="1:11" x14ac:dyDescent="0.3">
      <c r="H74" s="148" t="s">
        <v>117</v>
      </c>
      <c r="I74" s="149"/>
      <c r="J74" s="149"/>
      <c r="K74" s="150"/>
    </row>
    <row r="75" spans="1:11" x14ac:dyDescent="0.3">
      <c r="H75" s="131"/>
      <c r="I75" s="132"/>
      <c r="J75" s="132"/>
      <c r="K75" s="133"/>
    </row>
    <row r="76" spans="1:11" x14ac:dyDescent="0.3">
      <c r="H76" s="131" t="s">
        <v>118</v>
      </c>
      <c r="I76" s="132"/>
      <c r="J76" s="132"/>
      <c r="K76" s="133"/>
    </row>
    <row r="77" spans="1:11" x14ac:dyDescent="0.3">
      <c r="H77" s="131"/>
      <c r="I77" s="132"/>
      <c r="J77" s="132"/>
      <c r="K77" s="133"/>
    </row>
    <row r="78" spans="1:11" x14ac:dyDescent="0.3">
      <c r="H78" s="131" t="s">
        <v>119</v>
      </c>
      <c r="I78" s="132"/>
      <c r="J78" s="132"/>
      <c r="K78" s="133"/>
    </row>
    <row r="79" spans="1:11" x14ac:dyDescent="0.3">
      <c r="H79" s="131"/>
      <c r="I79" s="132"/>
      <c r="J79" s="132"/>
      <c r="K79" s="133"/>
    </row>
    <row r="80" spans="1:11" x14ac:dyDescent="0.3">
      <c r="H80" s="131" t="s">
        <v>120</v>
      </c>
      <c r="I80" s="132"/>
      <c r="J80" s="132"/>
      <c r="K80" s="133"/>
    </row>
    <row r="81" spans="8:11" x14ac:dyDescent="0.3">
      <c r="H81" s="131"/>
      <c r="I81" s="132"/>
      <c r="J81" s="132"/>
      <c r="K81" s="133"/>
    </row>
    <row r="82" spans="8:11" x14ac:dyDescent="0.3">
      <c r="H82" s="131" t="s">
        <v>121</v>
      </c>
      <c r="I82" s="132"/>
      <c r="J82" s="132"/>
      <c r="K82" s="133"/>
    </row>
    <row r="83" spans="8:11" x14ac:dyDescent="0.3">
      <c r="H83" s="131"/>
      <c r="I83" s="132"/>
      <c r="J83" s="132"/>
      <c r="K83" s="133"/>
    </row>
    <row r="84" spans="8:11" x14ac:dyDescent="0.3">
      <c r="H84" s="134" t="s">
        <v>122</v>
      </c>
      <c r="I84" s="135"/>
      <c r="J84" s="135"/>
      <c r="K84" s="136"/>
    </row>
    <row r="85" spans="8:11" x14ac:dyDescent="0.3">
      <c r="H85" s="137"/>
      <c r="I85" s="138"/>
      <c r="J85" s="138"/>
      <c r="K85" s="139"/>
    </row>
  </sheetData>
  <mergeCells count="17">
    <mergeCell ref="H53:K54"/>
    <mergeCell ref="H42:K44"/>
    <mergeCell ref="A1:H2"/>
    <mergeCell ref="H17:K19"/>
    <mergeCell ref="A30:H31"/>
    <mergeCell ref="H45:K46"/>
    <mergeCell ref="H47:K48"/>
    <mergeCell ref="H49:K50"/>
    <mergeCell ref="H51:K52"/>
    <mergeCell ref="H82:K83"/>
    <mergeCell ref="H84:K85"/>
    <mergeCell ref="A59:H60"/>
    <mergeCell ref="H71:K73"/>
    <mergeCell ref="H74:K75"/>
    <mergeCell ref="H76:K77"/>
    <mergeCell ref="H78:K79"/>
    <mergeCell ref="H80:K81"/>
  </mergeCells>
  <pageMargins left="0.7" right="0.7" top="0.75" bottom="0.75" header="0.3" footer="0.3"/>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44061-D0D6-48B8-8477-578012D1C3C1}">
  <dimension ref="A1:AC106"/>
  <sheetViews>
    <sheetView zoomScale="80" zoomScaleNormal="80" workbookViewId="0">
      <selection activeCell="AH36" sqref="AH36"/>
    </sheetView>
  </sheetViews>
  <sheetFormatPr defaultColWidth="8.77734375" defaultRowHeight="14.4" x14ac:dyDescent="0.3"/>
  <cols>
    <col min="1" max="28" width="7.77734375" customWidth="1"/>
    <col min="29" max="29" width="14.6640625" bestFit="1" customWidth="1"/>
  </cols>
  <sheetData>
    <row r="1" spans="1:29" x14ac:dyDescent="0.3">
      <c r="A1" s="50" t="s">
        <v>125</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row>
    <row r="2" spans="1:29" x14ac:dyDescent="0.3">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row>
    <row r="3" spans="1:29" x14ac:dyDescent="0.3">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row>
    <row r="4" spans="1:29" x14ac:dyDescent="0.3">
      <c r="A4" s="49" t="s">
        <v>123</v>
      </c>
      <c r="B4" s="49"/>
      <c r="C4" s="45">
        <f t="shared" ref="C4:S4" si="0">CORREL(C6:C34,$AC$6:$AC$34)</f>
        <v>-0.40488906086418952</v>
      </c>
      <c r="D4" s="45">
        <f t="shared" si="0"/>
        <v>-0.3903011143210095</v>
      </c>
      <c r="E4" s="45">
        <f t="shared" si="0"/>
        <v>-0.11459325667850884</v>
      </c>
      <c r="F4" s="45">
        <f t="shared" si="0"/>
        <v>-0.43528846932009152</v>
      </c>
      <c r="G4" s="45">
        <f t="shared" si="0"/>
        <v>-0.22708623733936725</v>
      </c>
      <c r="H4" s="45">
        <f t="shared" si="0"/>
        <v>-0.49256171141021371</v>
      </c>
      <c r="I4" s="45">
        <f t="shared" si="0"/>
        <v>-1.6877987604997546E-2</v>
      </c>
      <c r="J4" s="45">
        <f t="shared" si="0"/>
        <v>-0.44349232580575199</v>
      </c>
      <c r="K4" s="45">
        <f t="shared" si="0"/>
        <v>-0.3396601541184408</v>
      </c>
      <c r="L4" s="45">
        <f t="shared" si="0"/>
        <v>-0.44398577808984091</v>
      </c>
      <c r="M4" s="45">
        <f t="shared" si="0"/>
        <v>-0.47759533612204408</v>
      </c>
      <c r="N4" s="45">
        <f t="shared" si="0"/>
        <v>-0.45583003054373128</v>
      </c>
      <c r="O4" s="45">
        <f t="shared" si="0"/>
        <v>-0.45691463557959205</v>
      </c>
      <c r="P4" s="45">
        <f t="shared" si="0"/>
        <v>-0.43575260881195749</v>
      </c>
      <c r="Q4" s="45">
        <f t="shared" si="0"/>
        <v>-0.45097648739446899</v>
      </c>
      <c r="R4" s="45">
        <f t="shared" si="0"/>
        <v>-0.4484164564893765</v>
      </c>
      <c r="S4" s="45">
        <f t="shared" si="0"/>
        <v>-0.44990839854856707</v>
      </c>
      <c r="T4" s="45">
        <v>0</v>
      </c>
      <c r="U4" s="45">
        <f t="shared" ref="U4:AB4" si="1">CORREL(U6:U34,$AC$6:$AC$34)</f>
        <v>-0.5010782926109647</v>
      </c>
      <c r="V4" s="45">
        <f t="shared" si="1"/>
        <v>-0.44673549851423111</v>
      </c>
      <c r="W4" s="45">
        <f t="shared" si="1"/>
        <v>-0.43393147789654779</v>
      </c>
      <c r="X4" s="45">
        <f t="shared" si="1"/>
        <v>-0.46707005355012376</v>
      </c>
      <c r="Y4" s="45">
        <f t="shared" si="1"/>
        <v>-0.44710115885429363</v>
      </c>
      <c r="Z4" s="45">
        <f t="shared" si="1"/>
        <v>-0.46331401693673396</v>
      </c>
      <c r="AA4" s="45">
        <f t="shared" si="1"/>
        <v>-0.39906983664002005</v>
      </c>
      <c r="AB4" s="45">
        <f t="shared" si="1"/>
        <v>-0.44609004661068391</v>
      </c>
      <c r="AC4" s="45"/>
    </row>
    <row r="5" spans="1:29" x14ac:dyDescent="0.3">
      <c r="A5" s="46" t="s">
        <v>1</v>
      </c>
      <c r="B5" s="46" t="s">
        <v>2</v>
      </c>
      <c r="C5" s="47" t="s">
        <v>3</v>
      </c>
      <c r="D5" s="47" t="s">
        <v>4</v>
      </c>
      <c r="E5" s="47" t="s">
        <v>5</v>
      </c>
      <c r="F5" s="47" t="s">
        <v>6</v>
      </c>
      <c r="G5" s="47" t="s">
        <v>7</v>
      </c>
      <c r="H5" s="47" t="s">
        <v>8</v>
      </c>
      <c r="I5" s="47" t="s">
        <v>9</v>
      </c>
      <c r="J5" s="47" t="s">
        <v>10</v>
      </c>
      <c r="K5" s="47" t="s">
        <v>11</v>
      </c>
      <c r="L5" s="47" t="s">
        <v>12</v>
      </c>
      <c r="M5" s="47" t="s">
        <v>13</v>
      </c>
      <c r="N5" s="47" t="s">
        <v>57</v>
      </c>
      <c r="O5" s="47" t="s">
        <v>14</v>
      </c>
      <c r="P5" s="47" t="s">
        <v>15</v>
      </c>
      <c r="Q5" s="47" t="s">
        <v>16</v>
      </c>
      <c r="R5" s="47" t="s">
        <v>17</v>
      </c>
      <c r="S5" s="47" t="s">
        <v>18</v>
      </c>
      <c r="T5" s="47" t="s">
        <v>19</v>
      </c>
      <c r="U5" s="47" t="s">
        <v>20</v>
      </c>
      <c r="V5" s="47" t="s">
        <v>21</v>
      </c>
      <c r="W5" s="47" t="s">
        <v>22</v>
      </c>
      <c r="X5" s="47" t="s">
        <v>23</v>
      </c>
      <c r="Y5" s="47" t="s">
        <v>24</v>
      </c>
      <c r="Z5" s="47" t="s">
        <v>25</v>
      </c>
      <c r="AA5" s="47" t="s">
        <v>56</v>
      </c>
      <c r="AB5" s="47" t="s">
        <v>26</v>
      </c>
      <c r="AC5" s="47" t="s">
        <v>124</v>
      </c>
    </row>
    <row r="6" spans="1:29" x14ac:dyDescent="0.3">
      <c r="A6">
        <v>2021</v>
      </c>
      <c r="B6" t="s">
        <v>29</v>
      </c>
      <c r="C6">
        <v>143.4</v>
      </c>
      <c r="D6">
        <v>187.5</v>
      </c>
      <c r="E6">
        <v>173.4</v>
      </c>
      <c r="F6">
        <v>154</v>
      </c>
      <c r="G6">
        <v>154.80000000000001</v>
      </c>
      <c r="H6">
        <v>147</v>
      </c>
      <c r="I6">
        <v>187.8</v>
      </c>
      <c r="J6">
        <v>159.5</v>
      </c>
      <c r="K6">
        <v>113.8</v>
      </c>
      <c r="L6">
        <v>164.5</v>
      </c>
      <c r="M6">
        <v>156.1</v>
      </c>
      <c r="N6">
        <v>164.3</v>
      </c>
      <c r="O6">
        <v>159.6</v>
      </c>
      <c r="P6">
        <v>184.6</v>
      </c>
      <c r="Q6">
        <v>157.5</v>
      </c>
      <c r="R6">
        <v>152.4</v>
      </c>
      <c r="S6">
        <v>156.80000000000001</v>
      </c>
      <c r="T6" t="s">
        <v>30</v>
      </c>
      <c r="U6">
        <v>150.9</v>
      </c>
      <c r="V6">
        <v>153.9</v>
      </c>
      <c r="W6">
        <v>162.5</v>
      </c>
      <c r="X6">
        <v>147.5</v>
      </c>
      <c r="Y6">
        <v>155.1</v>
      </c>
      <c r="Z6">
        <v>163.5</v>
      </c>
      <c r="AA6">
        <v>156.19999999999999</v>
      </c>
      <c r="AB6">
        <v>155.9</v>
      </c>
      <c r="AC6" s="34">
        <v>0.18439256376999599</v>
      </c>
    </row>
    <row r="7" spans="1:29" x14ac:dyDescent="0.3">
      <c r="A7" s="47">
        <v>2021</v>
      </c>
      <c r="B7" s="47" t="s">
        <v>33</v>
      </c>
      <c r="C7" s="47">
        <v>142.80000000000001</v>
      </c>
      <c r="D7" s="47">
        <v>184</v>
      </c>
      <c r="E7" s="47">
        <v>168</v>
      </c>
      <c r="F7" s="47">
        <v>154.4</v>
      </c>
      <c r="G7" s="47">
        <v>163</v>
      </c>
      <c r="H7" s="47">
        <v>147.80000000000001</v>
      </c>
      <c r="I7" s="47">
        <v>149.69999999999999</v>
      </c>
      <c r="J7" s="47">
        <v>158.30000000000001</v>
      </c>
      <c r="K7" s="47">
        <v>111.8</v>
      </c>
      <c r="L7" s="47">
        <v>165</v>
      </c>
      <c r="M7" s="47">
        <v>160</v>
      </c>
      <c r="N7" s="47">
        <v>165.8</v>
      </c>
      <c r="O7" s="47">
        <v>154.69999999999999</v>
      </c>
      <c r="P7" s="47">
        <v>186.5</v>
      </c>
      <c r="Q7" s="47">
        <v>159.1</v>
      </c>
      <c r="R7" s="47">
        <v>153.9</v>
      </c>
      <c r="S7" s="47">
        <v>158.4</v>
      </c>
      <c r="T7" s="47" t="s">
        <v>30</v>
      </c>
      <c r="U7" s="47">
        <v>154.4</v>
      </c>
      <c r="V7" s="47">
        <v>154.80000000000001</v>
      </c>
      <c r="W7" s="47">
        <v>164.3</v>
      </c>
      <c r="X7" s="47">
        <v>150.19999999999999</v>
      </c>
      <c r="Y7" s="47">
        <v>157</v>
      </c>
      <c r="Z7" s="47">
        <v>163.6</v>
      </c>
      <c r="AA7" s="47">
        <v>155.19999999999999</v>
      </c>
      <c r="AB7" s="47">
        <v>157.19999999999999</v>
      </c>
      <c r="AC7" s="48">
        <v>0.11735718196751233</v>
      </c>
    </row>
    <row r="8" spans="1:29" x14ac:dyDescent="0.3">
      <c r="A8">
        <v>2021</v>
      </c>
      <c r="B8" t="s">
        <v>34</v>
      </c>
      <c r="C8">
        <v>142.5</v>
      </c>
      <c r="D8">
        <v>189.4</v>
      </c>
      <c r="E8">
        <v>163.19999999999999</v>
      </c>
      <c r="F8">
        <v>154.5</v>
      </c>
      <c r="G8">
        <v>168.2</v>
      </c>
      <c r="H8">
        <v>150.5</v>
      </c>
      <c r="I8">
        <v>141</v>
      </c>
      <c r="J8">
        <v>159.19999999999999</v>
      </c>
      <c r="K8">
        <v>111.7</v>
      </c>
      <c r="L8">
        <v>164</v>
      </c>
      <c r="M8">
        <v>160.6</v>
      </c>
      <c r="N8">
        <v>166.4</v>
      </c>
      <c r="O8">
        <v>154.5</v>
      </c>
      <c r="P8">
        <v>186.1</v>
      </c>
      <c r="Q8">
        <v>159.6</v>
      </c>
      <c r="R8">
        <v>154.4</v>
      </c>
      <c r="S8">
        <v>158.9</v>
      </c>
      <c r="T8" t="s">
        <v>30</v>
      </c>
      <c r="U8">
        <v>156</v>
      </c>
      <c r="V8">
        <v>154.80000000000001</v>
      </c>
      <c r="W8">
        <v>164.6</v>
      </c>
      <c r="X8">
        <v>151.30000000000001</v>
      </c>
      <c r="Y8">
        <v>157.80000000000001</v>
      </c>
      <c r="Z8">
        <v>163.80000000000001</v>
      </c>
      <c r="AA8">
        <v>153.1</v>
      </c>
      <c r="AB8">
        <v>157.30000000000001</v>
      </c>
      <c r="AC8" s="34">
        <v>5.5210715452466363E-2</v>
      </c>
    </row>
    <row r="9" spans="1:29" x14ac:dyDescent="0.3">
      <c r="A9" s="47">
        <v>2021</v>
      </c>
      <c r="B9" s="47" t="s">
        <v>35</v>
      </c>
      <c r="C9" s="47">
        <v>142.69999999999999</v>
      </c>
      <c r="D9" s="47">
        <v>195.5</v>
      </c>
      <c r="E9" s="47">
        <v>163.4</v>
      </c>
      <c r="F9" s="47">
        <v>155</v>
      </c>
      <c r="G9" s="47">
        <v>175.2</v>
      </c>
      <c r="H9" s="47">
        <v>160.6</v>
      </c>
      <c r="I9" s="47">
        <v>135.1</v>
      </c>
      <c r="J9" s="47">
        <v>161.1</v>
      </c>
      <c r="K9" s="47">
        <v>112.2</v>
      </c>
      <c r="L9" s="47">
        <v>164.4</v>
      </c>
      <c r="M9" s="47">
        <v>161.9</v>
      </c>
      <c r="N9" s="47">
        <v>166.8</v>
      </c>
      <c r="O9" s="47">
        <v>155.6</v>
      </c>
      <c r="P9" s="47">
        <v>186.8</v>
      </c>
      <c r="Q9" s="47">
        <v>160.69999999999999</v>
      </c>
      <c r="R9" s="47">
        <v>155.1</v>
      </c>
      <c r="S9" s="47">
        <v>159.9</v>
      </c>
      <c r="T9" s="47" t="s">
        <v>30</v>
      </c>
      <c r="U9" s="47">
        <v>156</v>
      </c>
      <c r="V9" s="47">
        <v>155.5</v>
      </c>
      <c r="W9" s="47">
        <v>165.3</v>
      </c>
      <c r="X9" s="47">
        <v>151.69999999999999</v>
      </c>
      <c r="Y9" s="47">
        <v>158.6</v>
      </c>
      <c r="Z9" s="47">
        <v>164.1</v>
      </c>
      <c r="AA9" s="47">
        <v>154.6</v>
      </c>
      <c r="AB9" s="47">
        <v>158</v>
      </c>
      <c r="AC9" s="48">
        <v>-1.8575851393188736E-2</v>
      </c>
    </row>
    <row r="10" spans="1:29" x14ac:dyDescent="0.3">
      <c r="A10">
        <v>2021</v>
      </c>
      <c r="B10" t="s">
        <v>36</v>
      </c>
      <c r="C10">
        <v>145.1</v>
      </c>
      <c r="D10">
        <v>198.5</v>
      </c>
      <c r="E10">
        <v>168.6</v>
      </c>
      <c r="F10">
        <v>155.80000000000001</v>
      </c>
      <c r="G10">
        <v>184.4</v>
      </c>
      <c r="H10">
        <v>162.30000000000001</v>
      </c>
      <c r="I10">
        <v>138.4</v>
      </c>
      <c r="J10">
        <v>165.1</v>
      </c>
      <c r="K10">
        <v>114.3</v>
      </c>
      <c r="L10">
        <v>169.7</v>
      </c>
      <c r="M10">
        <v>164.6</v>
      </c>
      <c r="N10">
        <v>169.8</v>
      </c>
      <c r="O10">
        <v>158.69999999999999</v>
      </c>
      <c r="P10">
        <v>189.6</v>
      </c>
      <c r="Q10">
        <v>165.3</v>
      </c>
      <c r="R10">
        <v>160.6</v>
      </c>
      <c r="S10">
        <v>164.5</v>
      </c>
      <c r="T10" t="s">
        <v>30</v>
      </c>
      <c r="U10">
        <v>161.69999999999999</v>
      </c>
      <c r="V10">
        <v>158.80000000000001</v>
      </c>
      <c r="W10">
        <v>169.1</v>
      </c>
      <c r="X10">
        <v>153.19999999999999</v>
      </c>
      <c r="Y10">
        <v>160</v>
      </c>
      <c r="Z10">
        <v>167.6</v>
      </c>
      <c r="AA10">
        <v>159.30000000000001</v>
      </c>
      <c r="AB10">
        <v>161.1</v>
      </c>
      <c r="AC10" s="34">
        <v>5.5993690851735112E-2</v>
      </c>
    </row>
    <row r="11" spans="1:29" x14ac:dyDescent="0.3">
      <c r="A11" s="47">
        <v>2021</v>
      </c>
      <c r="B11" s="47" t="s">
        <v>37</v>
      </c>
      <c r="C11" s="47">
        <v>145.6</v>
      </c>
      <c r="D11" s="47">
        <v>200.1</v>
      </c>
      <c r="E11" s="47">
        <v>179.3</v>
      </c>
      <c r="F11" s="47">
        <v>156.1</v>
      </c>
      <c r="G11" s="47">
        <v>190.4</v>
      </c>
      <c r="H11" s="47">
        <v>158.6</v>
      </c>
      <c r="I11" s="47">
        <v>144.69999999999999</v>
      </c>
      <c r="J11" s="47">
        <v>165.5</v>
      </c>
      <c r="K11" s="47">
        <v>114.6</v>
      </c>
      <c r="L11" s="47">
        <v>170</v>
      </c>
      <c r="M11" s="47">
        <v>165.5</v>
      </c>
      <c r="N11" s="47">
        <v>171.7</v>
      </c>
      <c r="O11" s="47">
        <v>160.5</v>
      </c>
      <c r="P11" s="47">
        <v>189.1</v>
      </c>
      <c r="Q11" s="47">
        <v>165.3</v>
      </c>
      <c r="R11" s="47">
        <v>159.9</v>
      </c>
      <c r="S11" s="47">
        <v>164.6</v>
      </c>
      <c r="T11" s="47" t="s">
        <v>30</v>
      </c>
      <c r="U11" s="47">
        <v>162.1</v>
      </c>
      <c r="V11" s="47">
        <v>159.19999999999999</v>
      </c>
      <c r="W11" s="47">
        <v>169.7</v>
      </c>
      <c r="X11" s="47">
        <v>154.19999999999999</v>
      </c>
      <c r="Y11" s="47">
        <v>160.4</v>
      </c>
      <c r="Z11" s="47">
        <v>166.8</v>
      </c>
      <c r="AA11" s="47">
        <v>159.4</v>
      </c>
      <c r="AB11" s="47">
        <v>161.5</v>
      </c>
      <c r="AC11" s="48">
        <v>7.4831964152352271E-2</v>
      </c>
    </row>
    <row r="12" spans="1:29" x14ac:dyDescent="0.3">
      <c r="A12">
        <v>2021</v>
      </c>
      <c r="B12" t="s">
        <v>38</v>
      </c>
      <c r="C12">
        <v>145.1</v>
      </c>
      <c r="D12">
        <v>204.5</v>
      </c>
      <c r="E12">
        <v>180.4</v>
      </c>
      <c r="F12">
        <v>157.1</v>
      </c>
      <c r="G12">
        <v>188.7</v>
      </c>
      <c r="H12">
        <v>157.69999999999999</v>
      </c>
      <c r="I12">
        <v>152.80000000000001</v>
      </c>
      <c r="J12">
        <v>163.6</v>
      </c>
      <c r="K12">
        <v>113.9</v>
      </c>
      <c r="L12">
        <v>169.7</v>
      </c>
      <c r="M12">
        <v>166.2</v>
      </c>
      <c r="N12">
        <v>171</v>
      </c>
      <c r="O12">
        <v>161.69999999999999</v>
      </c>
      <c r="P12">
        <v>189.7</v>
      </c>
      <c r="Q12">
        <v>166</v>
      </c>
      <c r="R12">
        <v>161.1</v>
      </c>
      <c r="S12">
        <v>165.3</v>
      </c>
      <c r="T12" t="s">
        <v>30</v>
      </c>
      <c r="U12">
        <v>162.5</v>
      </c>
      <c r="V12">
        <v>160.30000000000001</v>
      </c>
      <c r="W12">
        <v>170.4</v>
      </c>
      <c r="X12">
        <v>157.1</v>
      </c>
      <c r="Y12">
        <v>160.69999999999999</v>
      </c>
      <c r="Z12">
        <v>167.2</v>
      </c>
      <c r="AA12">
        <v>160.4</v>
      </c>
      <c r="AB12">
        <v>162.80000000000001</v>
      </c>
      <c r="AC12" s="34">
        <v>2.1956642579210817E-2</v>
      </c>
    </row>
    <row r="13" spans="1:29" x14ac:dyDescent="0.3">
      <c r="A13" s="47">
        <v>2021</v>
      </c>
      <c r="B13" s="47" t="s">
        <v>39</v>
      </c>
      <c r="C13" s="47">
        <v>144.9</v>
      </c>
      <c r="D13" s="47">
        <v>202.3</v>
      </c>
      <c r="E13" s="47">
        <v>176.5</v>
      </c>
      <c r="F13" s="47">
        <v>157.5</v>
      </c>
      <c r="G13" s="47">
        <v>190.9</v>
      </c>
      <c r="H13" s="47">
        <v>155.69999999999999</v>
      </c>
      <c r="I13" s="47">
        <v>153.9</v>
      </c>
      <c r="J13" s="47">
        <v>162.80000000000001</v>
      </c>
      <c r="K13" s="47">
        <v>115.2</v>
      </c>
      <c r="L13" s="47">
        <v>169.8</v>
      </c>
      <c r="M13" s="47">
        <v>167.6</v>
      </c>
      <c r="N13" s="47">
        <v>171.9</v>
      </c>
      <c r="O13" s="47">
        <v>161.80000000000001</v>
      </c>
      <c r="P13" s="47">
        <v>190.2</v>
      </c>
      <c r="Q13" s="47">
        <v>167</v>
      </c>
      <c r="R13" s="47">
        <v>162.6</v>
      </c>
      <c r="S13" s="47">
        <v>166.3</v>
      </c>
      <c r="T13" s="47" t="s">
        <v>30</v>
      </c>
      <c r="U13" s="47">
        <v>163.1</v>
      </c>
      <c r="V13" s="47">
        <v>160.9</v>
      </c>
      <c r="W13" s="47">
        <v>171.1</v>
      </c>
      <c r="X13" s="47">
        <v>157.69999999999999</v>
      </c>
      <c r="Y13" s="47">
        <v>161.1</v>
      </c>
      <c r="Z13" s="47">
        <v>167.5</v>
      </c>
      <c r="AA13" s="47">
        <v>160.30000000000001</v>
      </c>
      <c r="AB13" s="47">
        <v>163.30000000000001</v>
      </c>
      <c r="AC13" s="48">
        <v>-5.4392167527876012E-2</v>
      </c>
    </row>
    <row r="14" spans="1:29" x14ac:dyDescent="0.3">
      <c r="A14">
        <v>2021</v>
      </c>
      <c r="B14" t="s">
        <v>40</v>
      </c>
      <c r="C14">
        <v>145.4</v>
      </c>
      <c r="D14">
        <v>202.1</v>
      </c>
      <c r="E14">
        <v>172</v>
      </c>
      <c r="F14">
        <v>158</v>
      </c>
      <c r="G14">
        <v>195.5</v>
      </c>
      <c r="H14">
        <v>152.69999999999999</v>
      </c>
      <c r="I14">
        <v>151.4</v>
      </c>
      <c r="J14">
        <v>163.9</v>
      </c>
      <c r="K14">
        <v>119.3</v>
      </c>
      <c r="L14">
        <v>170.1</v>
      </c>
      <c r="M14">
        <v>168.3</v>
      </c>
      <c r="N14">
        <v>172.8</v>
      </c>
      <c r="O14">
        <v>162.1</v>
      </c>
      <c r="P14">
        <v>190.5</v>
      </c>
      <c r="Q14">
        <v>167.7</v>
      </c>
      <c r="R14">
        <v>163.6</v>
      </c>
      <c r="S14">
        <v>167.1</v>
      </c>
      <c r="T14" t="s">
        <v>30</v>
      </c>
      <c r="U14">
        <v>163.69999999999999</v>
      </c>
      <c r="V14">
        <v>161.30000000000001</v>
      </c>
      <c r="W14">
        <v>171.9</v>
      </c>
      <c r="X14">
        <v>157.80000000000001</v>
      </c>
      <c r="Y14">
        <v>162.69999999999999</v>
      </c>
      <c r="Z14">
        <v>168.5</v>
      </c>
      <c r="AA14">
        <v>160.19999999999999</v>
      </c>
      <c r="AB14">
        <v>163.80000000000001</v>
      </c>
      <c r="AC14" s="34">
        <v>5.1624964049467703E-2</v>
      </c>
    </row>
    <row r="15" spans="1:29" x14ac:dyDescent="0.3">
      <c r="A15" s="47">
        <v>2021</v>
      </c>
      <c r="B15" s="47" t="s">
        <v>41</v>
      </c>
      <c r="C15" s="47">
        <v>146.1</v>
      </c>
      <c r="D15" s="47">
        <v>202.5</v>
      </c>
      <c r="E15" s="47">
        <v>170.1</v>
      </c>
      <c r="F15" s="47">
        <v>158.4</v>
      </c>
      <c r="G15" s="47">
        <v>198.8</v>
      </c>
      <c r="H15" s="47">
        <v>152.6</v>
      </c>
      <c r="I15" s="47">
        <v>170.4</v>
      </c>
      <c r="J15" s="47">
        <v>165.2</v>
      </c>
      <c r="K15" s="47">
        <v>121.6</v>
      </c>
      <c r="L15" s="47">
        <v>170.6</v>
      </c>
      <c r="M15" s="47">
        <v>168.8</v>
      </c>
      <c r="N15" s="47">
        <v>173.6</v>
      </c>
      <c r="O15" s="47">
        <v>165.5</v>
      </c>
      <c r="P15" s="47">
        <v>191.2</v>
      </c>
      <c r="Q15" s="47">
        <v>168.9</v>
      </c>
      <c r="R15" s="47">
        <v>164.8</v>
      </c>
      <c r="S15" s="47">
        <v>168.3</v>
      </c>
      <c r="T15" s="47" t="s">
        <v>30</v>
      </c>
      <c r="U15" s="47">
        <v>165.5</v>
      </c>
      <c r="V15" s="47">
        <v>162</v>
      </c>
      <c r="W15" s="47">
        <v>172.5</v>
      </c>
      <c r="X15" s="47">
        <v>159.5</v>
      </c>
      <c r="Y15" s="47">
        <v>163.19999999999999</v>
      </c>
      <c r="Z15" s="47">
        <v>169</v>
      </c>
      <c r="AA15" s="47">
        <v>161.1</v>
      </c>
      <c r="AB15" s="47">
        <v>164.7</v>
      </c>
      <c r="AC15" s="48">
        <v>0.12279502256255981</v>
      </c>
    </row>
    <row r="16" spans="1:29" x14ac:dyDescent="0.3">
      <c r="A16">
        <v>2021</v>
      </c>
      <c r="B16" t="s">
        <v>43</v>
      </c>
      <c r="C16">
        <v>146.9</v>
      </c>
      <c r="D16">
        <v>199.8</v>
      </c>
      <c r="E16">
        <v>171.5</v>
      </c>
      <c r="F16">
        <v>159.1</v>
      </c>
      <c r="G16">
        <v>198.4</v>
      </c>
      <c r="H16">
        <v>153.19999999999999</v>
      </c>
      <c r="I16">
        <v>183.9</v>
      </c>
      <c r="J16">
        <v>165.4</v>
      </c>
      <c r="K16">
        <v>122.1</v>
      </c>
      <c r="L16">
        <v>170.8</v>
      </c>
      <c r="M16">
        <v>169.1</v>
      </c>
      <c r="N16">
        <v>174.3</v>
      </c>
      <c r="O16">
        <v>167.5</v>
      </c>
      <c r="P16">
        <v>191.4</v>
      </c>
      <c r="Q16">
        <v>170.4</v>
      </c>
      <c r="R16">
        <v>166</v>
      </c>
      <c r="S16">
        <v>169.8</v>
      </c>
      <c r="T16" t="s">
        <v>30</v>
      </c>
      <c r="U16">
        <v>165.3</v>
      </c>
      <c r="V16">
        <v>162.9</v>
      </c>
      <c r="W16">
        <v>173.4</v>
      </c>
      <c r="X16">
        <v>158.9</v>
      </c>
      <c r="Y16">
        <v>163.80000000000001</v>
      </c>
      <c r="Z16">
        <v>169.3</v>
      </c>
      <c r="AA16">
        <v>162.4</v>
      </c>
      <c r="AB16">
        <v>165.2</v>
      </c>
      <c r="AC16" s="34">
        <v>-1.7902813299232712E-2</v>
      </c>
    </row>
    <row r="17" spans="1:29" x14ac:dyDescent="0.3">
      <c r="A17" s="47">
        <v>2021</v>
      </c>
      <c r="B17" s="47" t="s">
        <v>44</v>
      </c>
      <c r="C17" s="47">
        <v>147.4</v>
      </c>
      <c r="D17" s="47">
        <v>197</v>
      </c>
      <c r="E17" s="47">
        <v>176.5</v>
      </c>
      <c r="F17" s="47">
        <v>159.80000000000001</v>
      </c>
      <c r="G17" s="47">
        <v>195.8</v>
      </c>
      <c r="H17" s="47">
        <v>152</v>
      </c>
      <c r="I17" s="47">
        <v>172.3</v>
      </c>
      <c r="J17" s="47">
        <v>164.5</v>
      </c>
      <c r="K17" s="47">
        <v>120.6</v>
      </c>
      <c r="L17" s="47">
        <v>171.7</v>
      </c>
      <c r="M17" s="47">
        <v>169.7</v>
      </c>
      <c r="N17" s="47">
        <v>175.1</v>
      </c>
      <c r="O17" s="47">
        <v>165.8</v>
      </c>
      <c r="P17" s="47">
        <v>190.8</v>
      </c>
      <c r="Q17" s="47">
        <v>171.8</v>
      </c>
      <c r="R17" s="47">
        <v>167.3</v>
      </c>
      <c r="S17" s="47">
        <v>171.2</v>
      </c>
      <c r="T17" s="47" t="s">
        <v>30</v>
      </c>
      <c r="U17" s="47">
        <v>165.6</v>
      </c>
      <c r="V17" s="47">
        <v>163.9</v>
      </c>
      <c r="W17" s="47">
        <v>174</v>
      </c>
      <c r="X17" s="47">
        <v>160.1</v>
      </c>
      <c r="Y17" s="47">
        <v>164.5</v>
      </c>
      <c r="Z17" s="47">
        <v>169.7</v>
      </c>
      <c r="AA17" s="47">
        <v>162.80000000000001</v>
      </c>
      <c r="AB17" s="47">
        <v>166</v>
      </c>
      <c r="AC17" s="48">
        <v>-9.1021825396825462E-2</v>
      </c>
    </row>
    <row r="18" spans="1:29" x14ac:dyDescent="0.3">
      <c r="A18">
        <v>2022</v>
      </c>
      <c r="B18" t="s">
        <v>29</v>
      </c>
      <c r="C18">
        <v>148.30000000000001</v>
      </c>
      <c r="D18">
        <v>196.9</v>
      </c>
      <c r="E18">
        <v>178</v>
      </c>
      <c r="F18">
        <v>160.5</v>
      </c>
      <c r="G18">
        <v>192.6</v>
      </c>
      <c r="H18">
        <v>151.19999999999999</v>
      </c>
      <c r="I18">
        <v>159.19999999999999</v>
      </c>
      <c r="J18">
        <v>164</v>
      </c>
      <c r="K18">
        <v>119.3</v>
      </c>
      <c r="L18">
        <v>173.3</v>
      </c>
      <c r="M18">
        <v>169.8</v>
      </c>
      <c r="N18">
        <v>175.8</v>
      </c>
      <c r="O18">
        <v>164.1</v>
      </c>
      <c r="P18">
        <v>190.7</v>
      </c>
      <c r="Q18">
        <v>173.2</v>
      </c>
      <c r="R18">
        <v>169.3</v>
      </c>
      <c r="S18">
        <v>172.7</v>
      </c>
      <c r="T18" t="s">
        <v>30</v>
      </c>
      <c r="U18">
        <v>165.8</v>
      </c>
      <c r="V18">
        <v>164.9</v>
      </c>
      <c r="W18">
        <v>174.7</v>
      </c>
      <c r="X18">
        <v>160.80000000000001</v>
      </c>
      <c r="Y18">
        <v>164.9</v>
      </c>
      <c r="Z18">
        <v>169.9</v>
      </c>
      <c r="AA18">
        <v>163.19999999999999</v>
      </c>
      <c r="AB18">
        <v>166.6</v>
      </c>
      <c r="AC18" s="34">
        <v>0.21637107776261932</v>
      </c>
    </row>
    <row r="19" spans="1:29" x14ac:dyDescent="0.3">
      <c r="A19" s="47">
        <v>2022</v>
      </c>
      <c r="B19" s="47" t="s">
        <v>33</v>
      </c>
      <c r="C19" s="47">
        <v>148.80000000000001</v>
      </c>
      <c r="D19" s="47">
        <v>198.1</v>
      </c>
      <c r="E19" s="47">
        <v>175.5</v>
      </c>
      <c r="F19" s="47">
        <v>160.69999999999999</v>
      </c>
      <c r="G19" s="47">
        <v>192.6</v>
      </c>
      <c r="H19" s="47">
        <v>151.4</v>
      </c>
      <c r="I19" s="47">
        <v>155.19999999999999</v>
      </c>
      <c r="J19" s="47">
        <v>163.9</v>
      </c>
      <c r="K19" s="47">
        <v>118.1</v>
      </c>
      <c r="L19" s="47">
        <v>175.4</v>
      </c>
      <c r="M19" s="47">
        <v>170.5</v>
      </c>
      <c r="N19" s="47">
        <v>176.3</v>
      </c>
      <c r="O19" s="47">
        <v>163.9</v>
      </c>
      <c r="P19" s="47">
        <v>191.5</v>
      </c>
      <c r="Q19" s="47">
        <v>174.1</v>
      </c>
      <c r="R19" s="47">
        <v>171</v>
      </c>
      <c r="S19" s="47">
        <v>173.7</v>
      </c>
      <c r="T19" s="47" t="s">
        <v>30</v>
      </c>
      <c r="U19" s="47">
        <v>167.4</v>
      </c>
      <c r="V19" s="47">
        <v>165.7</v>
      </c>
      <c r="W19" s="47">
        <v>175.3</v>
      </c>
      <c r="X19" s="47">
        <v>161.19999999999999</v>
      </c>
      <c r="Y19" s="47">
        <v>165.5</v>
      </c>
      <c r="Z19" s="47">
        <v>170.3</v>
      </c>
      <c r="AA19" s="47">
        <v>164.5</v>
      </c>
      <c r="AB19" s="47">
        <v>167.3</v>
      </c>
      <c r="AC19" s="48">
        <v>7.8174069089277598E-2</v>
      </c>
    </row>
    <row r="20" spans="1:29" x14ac:dyDescent="0.3">
      <c r="A20">
        <v>2022</v>
      </c>
      <c r="B20" t="s">
        <v>34</v>
      </c>
      <c r="C20">
        <v>150.19999999999999</v>
      </c>
      <c r="D20">
        <v>208</v>
      </c>
      <c r="E20">
        <v>167.9</v>
      </c>
      <c r="F20">
        <v>162</v>
      </c>
      <c r="G20">
        <v>203.1</v>
      </c>
      <c r="H20">
        <v>155.9</v>
      </c>
      <c r="I20">
        <v>155.80000000000001</v>
      </c>
      <c r="J20">
        <v>164.2</v>
      </c>
      <c r="K20">
        <v>118.1</v>
      </c>
      <c r="L20">
        <v>178.7</v>
      </c>
      <c r="M20">
        <v>171.2</v>
      </c>
      <c r="N20">
        <v>177.4</v>
      </c>
      <c r="O20">
        <v>166.6</v>
      </c>
      <c r="P20">
        <v>192.3</v>
      </c>
      <c r="Q20">
        <v>175.4</v>
      </c>
      <c r="R20">
        <v>173.2</v>
      </c>
      <c r="S20">
        <v>175.1</v>
      </c>
      <c r="T20" t="s">
        <v>30</v>
      </c>
      <c r="U20">
        <v>168.9</v>
      </c>
      <c r="V20">
        <v>166.5</v>
      </c>
      <c r="W20">
        <v>176</v>
      </c>
      <c r="X20">
        <v>162</v>
      </c>
      <c r="Y20">
        <v>166.6</v>
      </c>
      <c r="Z20">
        <v>170.6</v>
      </c>
      <c r="AA20">
        <v>167.4</v>
      </c>
      <c r="AB20">
        <v>168.3</v>
      </c>
      <c r="AC20" s="34">
        <v>0.17413918651825666</v>
      </c>
    </row>
    <row r="21" spans="1:29" x14ac:dyDescent="0.3">
      <c r="A21" s="47">
        <v>2022</v>
      </c>
      <c r="B21" s="47" t="s">
        <v>35</v>
      </c>
      <c r="C21" s="47">
        <v>151.80000000000001</v>
      </c>
      <c r="D21" s="47">
        <v>209.7</v>
      </c>
      <c r="E21" s="47">
        <v>164.5</v>
      </c>
      <c r="F21" s="47">
        <v>163.80000000000001</v>
      </c>
      <c r="G21" s="47">
        <v>207.4</v>
      </c>
      <c r="H21" s="47">
        <v>169.7</v>
      </c>
      <c r="I21" s="47">
        <v>153.6</v>
      </c>
      <c r="J21" s="47">
        <v>165.1</v>
      </c>
      <c r="K21" s="47">
        <v>118.2</v>
      </c>
      <c r="L21" s="47">
        <v>182.9</v>
      </c>
      <c r="M21" s="47">
        <v>172.4</v>
      </c>
      <c r="N21" s="47">
        <v>178.9</v>
      </c>
      <c r="O21" s="47">
        <v>168.6</v>
      </c>
      <c r="P21" s="47">
        <v>192.8</v>
      </c>
      <c r="Q21" s="47">
        <v>177.5</v>
      </c>
      <c r="R21" s="47">
        <v>175.1</v>
      </c>
      <c r="S21" s="47">
        <v>177.1</v>
      </c>
      <c r="T21" s="47" t="s">
        <v>30</v>
      </c>
      <c r="U21" s="47">
        <v>173.3</v>
      </c>
      <c r="V21" s="47">
        <v>167.7</v>
      </c>
      <c r="W21" s="47">
        <v>177</v>
      </c>
      <c r="X21" s="47">
        <v>166.2</v>
      </c>
      <c r="Y21" s="47">
        <v>167.2</v>
      </c>
      <c r="Z21" s="47">
        <v>170.9</v>
      </c>
      <c r="AA21" s="47">
        <v>169</v>
      </c>
      <c r="AB21" s="47">
        <v>170.2</v>
      </c>
      <c r="AC21" s="48">
        <v>-8.7711526534951734E-2</v>
      </c>
    </row>
    <row r="22" spans="1:29" x14ac:dyDescent="0.3">
      <c r="A22">
        <v>2022</v>
      </c>
      <c r="B22" t="s">
        <v>36</v>
      </c>
      <c r="C22">
        <v>152.9</v>
      </c>
      <c r="D22">
        <v>214.7</v>
      </c>
      <c r="E22">
        <v>161.4</v>
      </c>
      <c r="F22">
        <v>164.6</v>
      </c>
      <c r="G22">
        <v>209.9</v>
      </c>
      <c r="H22">
        <v>168</v>
      </c>
      <c r="I22">
        <v>160.4</v>
      </c>
      <c r="J22">
        <v>165</v>
      </c>
      <c r="K22">
        <v>118.9</v>
      </c>
      <c r="L22">
        <v>186.6</v>
      </c>
      <c r="M22">
        <v>173.2</v>
      </c>
      <c r="N22">
        <v>180.4</v>
      </c>
      <c r="O22">
        <v>170.8</v>
      </c>
      <c r="P22">
        <v>192.9</v>
      </c>
      <c r="Q22">
        <v>179.3</v>
      </c>
      <c r="R22">
        <v>177.2</v>
      </c>
      <c r="S22">
        <v>179</v>
      </c>
      <c r="T22" t="s">
        <v>30</v>
      </c>
      <c r="U22">
        <v>175.3</v>
      </c>
      <c r="V22">
        <v>168.9</v>
      </c>
      <c r="W22">
        <v>177.7</v>
      </c>
      <c r="X22">
        <v>167.1</v>
      </c>
      <c r="Y22">
        <v>167.6</v>
      </c>
      <c r="Z22">
        <v>171.8</v>
      </c>
      <c r="AA22">
        <v>168.5</v>
      </c>
      <c r="AB22">
        <v>170.9</v>
      </c>
      <c r="AC22" s="34">
        <v>6.3513644750898379E-2</v>
      </c>
    </row>
    <row r="23" spans="1:29" x14ac:dyDescent="0.3">
      <c r="A23" s="47">
        <v>2022</v>
      </c>
      <c r="B23" s="47" t="s">
        <v>37</v>
      </c>
      <c r="C23" s="47">
        <v>153.80000000000001</v>
      </c>
      <c r="D23" s="47">
        <v>217.2</v>
      </c>
      <c r="E23" s="47">
        <v>169.6</v>
      </c>
      <c r="F23" s="47">
        <v>165.4</v>
      </c>
      <c r="G23" s="47">
        <v>208.1</v>
      </c>
      <c r="H23" s="47">
        <v>165.8</v>
      </c>
      <c r="I23" s="47">
        <v>167.3</v>
      </c>
      <c r="J23" s="47">
        <v>164.6</v>
      </c>
      <c r="K23" s="47">
        <v>119.1</v>
      </c>
      <c r="L23" s="47">
        <v>188.9</v>
      </c>
      <c r="M23" s="47">
        <v>174.2</v>
      </c>
      <c r="N23" s="47">
        <v>181.9</v>
      </c>
      <c r="O23" s="47">
        <v>172.4</v>
      </c>
      <c r="P23" s="47">
        <v>192.9</v>
      </c>
      <c r="Q23" s="47">
        <v>180.7</v>
      </c>
      <c r="R23" s="47">
        <v>178.7</v>
      </c>
      <c r="S23" s="47">
        <v>180.4</v>
      </c>
      <c r="T23" s="47" t="s">
        <v>30</v>
      </c>
      <c r="U23" s="47">
        <v>176.7</v>
      </c>
      <c r="V23" s="47">
        <v>170.3</v>
      </c>
      <c r="W23" s="47">
        <v>178.2</v>
      </c>
      <c r="X23" s="47">
        <v>165.5</v>
      </c>
      <c r="Y23" s="47">
        <v>168</v>
      </c>
      <c r="Z23" s="47">
        <v>172.6</v>
      </c>
      <c r="AA23" s="47">
        <v>169.5</v>
      </c>
      <c r="AB23" s="47">
        <v>171</v>
      </c>
      <c r="AC23" s="48">
        <v>5.935531001735006E-2</v>
      </c>
    </row>
    <row r="24" spans="1:29" x14ac:dyDescent="0.3">
      <c r="A24">
        <v>2022</v>
      </c>
      <c r="B24" t="s">
        <v>38</v>
      </c>
      <c r="C24">
        <v>155.19999999999999</v>
      </c>
      <c r="D24">
        <v>210.8</v>
      </c>
      <c r="E24">
        <v>174.3</v>
      </c>
      <c r="F24">
        <v>166.3</v>
      </c>
      <c r="G24">
        <v>202.2</v>
      </c>
      <c r="H24">
        <v>169.6</v>
      </c>
      <c r="I24">
        <v>168.6</v>
      </c>
      <c r="J24">
        <v>164.4</v>
      </c>
      <c r="K24">
        <v>119.2</v>
      </c>
      <c r="L24">
        <v>191.8</v>
      </c>
      <c r="M24">
        <v>174.5</v>
      </c>
      <c r="N24">
        <v>183.1</v>
      </c>
      <c r="O24">
        <v>172.5</v>
      </c>
      <c r="P24">
        <v>193.2</v>
      </c>
      <c r="Q24">
        <v>182</v>
      </c>
      <c r="R24">
        <v>180.3</v>
      </c>
      <c r="S24">
        <v>181.7</v>
      </c>
      <c r="T24" t="s">
        <v>30</v>
      </c>
      <c r="U24">
        <v>179.6</v>
      </c>
      <c r="V24">
        <v>171.3</v>
      </c>
      <c r="W24">
        <v>178.8</v>
      </c>
      <c r="X24">
        <v>166.3</v>
      </c>
      <c r="Y24">
        <v>168.6</v>
      </c>
      <c r="Z24">
        <v>174.7</v>
      </c>
      <c r="AA24">
        <v>169.7</v>
      </c>
      <c r="AB24">
        <v>171.8</v>
      </c>
      <c r="AC24" s="34">
        <v>-9.0681837772605856E-2</v>
      </c>
    </row>
    <row r="25" spans="1:29" x14ac:dyDescent="0.3">
      <c r="A25" s="47">
        <v>2022</v>
      </c>
      <c r="B25" s="47" t="s">
        <v>39</v>
      </c>
      <c r="C25" s="47">
        <v>159.5</v>
      </c>
      <c r="D25" s="47">
        <v>204.1</v>
      </c>
      <c r="E25" s="47">
        <v>168.3</v>
      </c>
      <c r="F25" s="47">
        <v>167.9</v>
      </c>
      <c r="G25" s="47">
        <v>198.1</v>
      </c>
      <c r="H25" s="47">
        <v>169.2</v>
      </c>
      <c r="I25" s="47">
        <v>173.1</v>
      </c>
      <c r="J25" s="47">
        <v>167.1</v>
      </c>
      <c r="K25" s="47">
        <v>120.2</v>
      </c>
      <c r="L25" s="47">
        <v>195.6</v>
      </c>
      <c r="M25" s="47">
        <v>174.8</v>
      </c>
      <c r="N25" s="47">
        <v>184</v>
      </c>
      <c r="O25" s="47">
        <v>173.9</v>
      </c>
      <c r="P25" s="47">
        <v>193.7</v>
      </c>
      <c r="Q25" s="47">
        <v>183.2</v>
      </c>
      <c r="R25" s="47">
        <v>181.7</v>
      </c>
      <c r="S25" s="47">
        <v>183</v>
      </c>
      <c r="T25" s="47" t="s">
        <v>30</v>
      </c>
      <c r="U25" s="47">
        <v>179.1</v>
      </c>
      <c r="V25" s="47">
        <v>172.3</v>
      </c>
      <c r="W25" s="47">
        <v>179.4</v>
      </c>
      <c r="X25" s="47">
        <v>166.6</v>
      </c>
      <c r="Y25" s="47">
        <v>169.3</v>
      </c>
      <c r="Z25" s="47">
        <v>175.7</v>
      </c>
      <c r="AA25" s="47">
        <v>171.1</v>
      </c>
      <c r="AB25" s="47">
        <v>172.6</v>
      </c>
      <c r="AC25" s="48">
        <v>-7.668973362404008E-2</v>
      </c>
    </row>
    <row r="26" spans="1:29" x14ac:dyDescent="0.3">
      <c r="A26">
        <v>2022</v>
      </c>
      <c r="B26" t="s">
        <v>40</v>
      </c>
      <c r="C26">
        <v>162.9</v>
      </c>
      <c r="D26">
        <v>206.7</v>
      </c>
      <c r="E26">
        <v>169</v>
      </c>
      <c r="F26">
        <v>169.5</v>
      </c>
      <c r="G26">
        <v>194.1</v>
      </c>
      <c r="H26">
        <v>164.1</v>
      </c>
      <c r="I26">
        <v>176.9</v>
      </c>
      <c r="J26">
        <v>169</v>
      </c>
      <c r="K26">
        <v>120.8</v>
      </c>
      <c r="L26">
        <v>199.1</v>
      </c>
      <c r="M26">
        <v>175.4</v>
      </c>
      <c r="N26">
        <v>184.8</v>
      </c>
      <c r="O26">
        <v>175.5</v>
      </c>
      <c r="P26">
        <v>194.5</v>
      </c>
      <c r="Q26">
        <v>184.7</v>
      </c>
      <c r="R26">
        <v>183.3</v>
      </c>
      <c r="S26">
        <v>184.5</v>
      </c>
      <c r="T26" t="s">
        <v>30</v>
      </c>
      <c r="U26">
        <v>179.7</v>
      </c>
      <c r="V26">
        <v>173.6</v>
      </c>
      <c r="W26">
        <v>180.2</v>
      </c>
      <c r="X26">
        <v>166.9</v>
      </c>
      <c r="Y26">
        <v>170</v>
      </c>
      <c r="Z26">
        <v>176.2</v>
      </c>
      <c r="AA26">
        <v>170.8</v>
      </c>
      <c r="AB26">
        <v>173.1</v>
      </c>
      <c r="AC26" s="34">
        <v>-6.8685831622176674E-2</v>
      </c>
    </row>
    <row r="27" spans="1:29" x14ac:dyDescent="0.3">
      <c r="A27" s="47">
        <v>2022</v>
      </c>
      <c r="B27" s="47" t="s">
        <v>41</v>
      </c>
      <c r="C27" s="47">
        <v>164.7</v>
      </c>
      <c r="D27" s="47">
        <v>208.8</v>
      </c>
      <c r="E27" s="47">
        <v>170.3</v>
      </c>
      <c r="F27" s="47">
        <v>170.9</v>
      </c>
      <c r="G27" s="47">
        <v>191.6</v>
      </c>
      <c r="H27" s="47">
        <v>162.19999999999999</v>
      </c>
      <c r="I27" s="47">
        <v>184.8</v>
      </c>
      <c r="J27" s="47">
        <v>169.7</v>
      </c>
      <c r="K27" s="47">
        <v>121.1</v>
      </c>
      <c r="L27" s="47">
        <v>201.6</v>
      </c>
      <c r="M27" s="47">
        <v>175.8</v>
      </c>
      <c r="N27" s="47">
        <v>185.6</v>
      </c>
      <c r="O27" s="47">
        <v>177.4</v>
      </c>
      <c r="P27" s="47">
        <v>194.9</v>
      </c>
      <c r="Q27" s="47">
        <v>186.1</v>
      </c>
      <c r="R27" s="47">
        <v>184.4</v>
      </c>
      <c r="S27" s="47">
        <v>185.9</v>
      </c>
      <c r="T27" s="47" t="s">
        <v>30</v>
      </c>
      <c r="U27" s="47">
        <v>180.8</v>
      </c>
      <c r="V27" s="47">
        <v>174.4</v>
      </c>
      <c r="W27" s="47">
        <v>181.2</v>
      </c>
      <c r="X27" s="47">
        <v>167.4</v>
      </c>
      <c r="Y27" s="47">
        <v>170.6</v>
      </c>
      <c r="Z27" s="47">
        <v>176.5</v>
      </c>
      <c r="AA27" s="47">
        <v>172</v>
      </c>
      <c r="AB27" s="47">
        <v>173.9</v>
      </c>
      <c r="AC27" s="48">
        <v>1.0913901444162821E-2</v>
      </c>
    </row>
    <row r="28" spans="1:29" x14ac:dyDescent="0.3">
      <c r="A28">
        <v>2022</v>
      </c>
      <c r="B28" t="s">
        <v>43</v>
      </c>
      <c r="C28">
        <v>166.9</v>
      </c>
      <c r="D28">
        <v>207.2</v>
      </c>
      <c r="E28">
        <v>180.2</v>
      </c>
      <c r="F28">
        <v>172.3</v>
      </c>
      <c r="G28">
        <v>194</v>
      </c>
      <c r="H28">
        <v>159.1</v>
      </c>
      <c r="I28">
        <v>171.6</v>
      </c>
      <c r="J28">
        <v>170.2</v>
      </c>
      <c r="K28">
        <v>121.5</v>
      </c>
      <c r="L28">
        <v>204.8</v>
      </c>
      <c r="M28">
        <v>176.4</v>
      </c>
      <c r="N28">
        <v>186.9</v>
      </c>
      <c r="O28">
        <v>176.6</v>
      </c>
      <c r="P28">
        <v>195.5</v>
      </c>
      <c r="Q28">
        <v>187.2</v>
      </c>
      <c r="R28">
        <v>185.2</v>
      </c>
      <c r="S28">
        <v>186.9</v>
      </c>
      <c r="T28" t="s">
        <v>30</v>
      </c>
      <c r="U28">
        <v>181.9</v>
      </c>
      <c r="V28">
        <v>175.5</v>
      </c>
      <c r="W28">
        <v>182.3</v>
      </c>
      <c r="X28">
        <v>167.5</v>
      </c>
      <c r="Y28">
        <v>170.8</v>
      </c>
      <c r="Z28">
        <v>176.9</v>
      </c>
      <c r="AA28">
        <v>173.4</v>
      </c>
      <c r="AB28">
        <v>174.6</v>
      </c>
      <c r="AC28" s="34">
        <v>-4.5256270447110225E-2</v>
      </c>
    </row>
    <row r="29" spans="1:29" x14ac:dyDescent="0.3">
      <c r="A29" s="47">
        <v>2022</v>
      </c>
      <c r="B29" s="47" t="s">
        <v>44</v>
      </c>
      <c r="C29" s="47">
        <v>168.8</v>
      </c>
      <c r="D29" s="47">
        <v>206.9</v>
      </c>
      <c r="E29" s="47">
        <v>189.1</v>
      </c>
      <c r="F29" s="47">
        <v>173.4</v>
      </c>
      <c r="G29" s="47">
        <v>193.9</v>
      </c>
      <c r="H29" s="47">
        <v>156.69999999999999</v>
      </c>
      <c r="I29" s="47">
        <v>150.19999999999999</v>
      </c>
      <c r="J29" s="47">
        <v>170.5</v>
      </c>
      <c r="K29" s="47">
        <v>121.2</v>
      </c>
      <c r="L29" s="47">
        <v>207.5</v>
      </c>
      <c r="M29" s="47">
        <v>176.8</v>
      </c>
      <c r="N29" s="47">
        <v>187.7</v>
      </c>
      <c r="O29" s="47">
        <v>174.4</v>
      </c>
      <c r="P29" s="47">
        <v>195.9</v>
      </c>
      <c r="Q29" s="47">
        <v>188.1</v>
      </c>
      <c r="R29" s="47">
        <v>185.9</v>
      </c>
      <c r="S29" s="47">
        <v>187.8</v>
      </c>
      <c r="T29" s="47" t="s">
        <v>30</v>
      </c>
      <c r="U29" s="47">
        <v>182.8</v>
      </c>
      <c r="V29" s="47">
        <v>176.4</v>
      </c>
      <c r="W29" s="47">
        <v>183.5</v>
      </c>
      <c r="X29" s="47">
        <v>167.8</v>
      </c>
      <c r="Y29" s="47">
        <v>171.2</v>
      </c>
      <c r="Z29" s="47">
        <v>177.3</v>
      </c>
      <c r="AA29" s="47">
        <v>175.7</v>
      </c>
      <c r="AB29" s="47">
        <v>175.5</v>
      </c>
      <c r="AC29" s="48">
        <v>-0.10793832095945177</v>
      </c>
    </row>
    <row r="30" spans="1:29" x14ac:dyDescent="0.3">
      <c r="A30">
        <v>2023</v>
      </c>
      <c r="B30" t="s">
        <v>29</v>
      </c>
      <c r="C30">
        <v>174</v>
      </c>
      <c r="D30">
        <v>208.3</v>
      </c>
      <c r="E30">
        <v>192.9</v>
      </c>
      <c r="F30">
        <v>174.3</v>
      </c>
      <c r="G30">
        <v>192.6</v>
      </c>
      <c r="H30">
        <v>156.30000000000001</v>
      </c>
      <c r="I30">
        <v>142.9</v>
      </c>
      <c r="J30">
        <v>170.7</v>
      </c>
      <c r="K30">
        <v>120.3</v>
      </c>
      <c r="L30">
        <v>210.5</v>
      </c>
      <c r="M30">
        <v>176.9</v>
      </c>
      <c r="N30">
        <v>188.5</v>
      </c>
      <c r="O30">
        <v>175</v>
      </c>
      <c r="P30">
        <v>196.9</v>
      </c>
      <c r="Q30">
        <v>189</v>
      </c>
      <c r="R30">
        <v>186.3</v>
      </c>
      <c r="S30">
        <v>188.6</v>
      </c>
      <c r="T30" t="s">
        <v>30</v>
      </c>
      <c r="U30">
        <v>183.2</v>
      </c>
      <c r="V30">
        <v>177.2</v>
      </c>
      <c r="W30">
        <v>184.7</v>
      </c>
      <c r="X30">
        <v>168.2</v>
      </c>
      <c r="Y30">
        <v>171.8</v>
      </c>
      <c r="Z30">
        <v>177.8</v>
      </c>
      <c r="AA30">
        <v>178.4</v>
      </c>
      <c r="AB30">
        <v>176.5</v>
      </c>
      <c r="AC30" s="34">
        <v>3.6107554417413645E-2</v>
      </c>
    </row>
    <row r="31" spans="1:29" x14ac:dyDescent="0.3">
      <c r="A31" s="47">
        <v>2023</v>
      </c>
      <c r="B31" s="47" t="s">
        <v>33</v>
      </c>
      <c r="C31" s="47">
        <v>174.2</v>
      </c>
      <c r="D31" s="47">
        <v>205.2</v>
      </c>
      <c r="E31" s="47">
        <v>173.9</v>
      </c>
      <c r="F31" s="47">
        <v>177</v>
      </c>
      <c r="G31" s="47">
        <v>183.4</v>
      </c>
      <c r="H31" s="47">
        <v>167.2</v>
      </c>
      <c r="I31" s="47">
        <v>140.9</v>
      </c>
      <c r="J31" s="47">
        <v>170.4</v>
      </c>
      <c r="K31" s="47">
        <v>119.1</v>
      </c>
      <c r="L31" s="47">
        <v>212.1</v>
      </c>
      <c r="M31" s="47">
        <v>177.6</v>
      </c>
      <c r="N31" s="47">
        <v>189.9</v>
      </c>
      <c r="O31" s="47">
        <v>174.8</v>
      </c>
      <c r="P31" s="47">
        <v>198.3</v>
      </c>
      <c r="Q31" s="47">
        <v>190</v>
      </c>
      <c r="R31" s="47">
        <v>187</v>
      </c>
      <c r="S31" s="47">
        <v>189.6</v>
      </c>
      <c r="T31" s="47" t="s">
        <v>30</v>
      </c>
      <c r="U31" s="47">
        <v>181.6</v>
      </c>
      <c r="V31" s="47">
        <v>178.6</v>
      </c>
      <c r="W31" s="47">
        <v>186.6</v>
      </c>
      <c r="X31" s="47">
        <v>169</v>
      </c>
      <c r="Y31" s="47">
        <v>172.8</v>
      </c>
      <c r="Z31" s="47">
        <v>178.5</v>
      </c>
      <c r="AA31" s="47">
        <v>180.7</v>
      </c>
      <c r="AB31" s="47">
        <v>177.9</v>
      </c>
      <c r="AC31" s="48">
        <v>1.6806722689075571E-2</v>
      </c>
    </row>
    <row r="32" spans="1:29" x14ac:dyDescent="0.3">
      <c r="A32">
        <v>2023</v>
      </c>
      <c r="B32" t="s">
        <v>34</v>
      </c>
      <c r="C32">
        <v>174.3</v>
      </c>
      <c r="D32">
        <v>205.2</v>
      </c>
      <c r="E32">
        <v>173.9</v>
      </c>
      <c r="F32">
        <v>177</v>
      </c>
      <c r="G32">
        <v>183.3</v>
      </c>
      <c r="H32">
        <v>167.2</v>
      </c>
      <c r="I32">
        <v>140.9</v>
      </c>
      <c r="J32">
        <v>170.5</v>
      </c>
      <c r="K32">
        <v>119.1</v>
      </c>
      <c r="L32">
        <v>212.1</v>
      </c>
      <c r="M32">
        <v>177.6</v>
      </c>
      <c r="N32">
        <v>189.9</v>
      </c>
      <c r="O32">
        <v>174.8</v>
      </c>
      <c r="P32">
        <v>198.4</v>
      </c>
      <c r="Q32">
        <v>190</v>
      </c>
      <c r="R32">
        <v>187</v>
      </c>
      <c r="S32">
        <v>189.6</v>
      </c>
      <c r="T32" t="s">
        <v>30</v>
      </c>
      <c r="U32">
        <v>181.4</v>
      </c>
      <c r="V32">
        <v>178.6</v>
      </c>
      <c r="W32">
        <v>186.6</v>
      </c>
      <c r="X32">
        <v>169</v>
      </c>
      <c r="Y32">
        <v>172.8</v>
      </c>
      <c r="Z32">
        <v>178.5</v>
      </c>
      <c r="AA32">
        <v>180.7</v>
      </c>
      <c r="AB32">
        <v>177.9</v>
      </c>
      <c r="AC32" s="34">
        <v>-4.5454545454545414E-2</v>
      </c>
    </row>
    <row r="33" spans="1:29" x14ac:dyDescent="0.3">
      <c r="A33" s="47">
        <v>2023</v>
      </c>
      <c r="B33" s="47" t="s">
        <v>35</v>
      </c>
      <c r="C33" s="47">
        <v>173.3</v>
      </c>
      <c r="D33" s="47">
        <v>206.9</v>
      </c>
      <c r="E33" s="47">
        <v>167.9</v>
      </c>
      <c r="F33" s="47">
        <v>178.2</v>
      </c>
      <c r="G33" s="47">
        <v>178.5</v>
      </c>
      <c r="H33" s="47">
        <v>173.7</v>
      </c>
      <c r="I33" s="47">
        <v>142.80000000000001</v>
      </c>
      <c r="J33" s="47">
        <v>172.8</v>
      </c>
      <c r="K33" s="47">
        <v>120.4</v>
      </c>
      <c r="L33" s="47">
        <v>215.5</v>
      </c>
      <c r="M33" s="47">
        <v>178.2</v>
      </c>
      <c r="N33" s="47">
        <v>190.5</v>
      </c>
      <c r="O33" s="47">
        <v>175.5</v>
      </c>
      <c r="P33" s="47">
        <v>199.5</v>
      </c>
      <c r="Q33" s="47">
        <v>190.7</v>
      </c>
      <c r="R33" s="47">
        <v>187.3</v>
      </c>
      <c r="S33" s="47">
        <v>190.2</v>
      </c>
      <c r="T33" s="47" t="s">
        <v>30</v>
      </c>
      <c r="U33" s="47">
        <v>181.5</v>
      </c>
      <c r="V33" s="47">
        <v>179.1</v>
      </c>
      <c r="W33" s="47">
        <v>187.2</v>
      </c>
      <c r="X33" s="47">
        <v>169.4</v>
      </c>
      <c r="Y33" s="47">
        <v>173.2</v>
      </c>
      <c r="Z33" s="47">
        <v>179.4</v>
      </c>
      <c r="AA33" s="47">
        <v>183.8</v>
      </c>
      <c r="AB33" s="47">
        <v>178.9</v>
      </c>
      <c r="AC33" s="48">
        <v>6.6462948815889877E-2</v>
      </c>
    </row>
    <row r="34" spans="1:29" x14ac:dyDescent="0.3">
      <c r="A34">
        <v>2023</v>
      </c>
      <c r="B34" t="s">
        <v>36</v>
      </c>
      <c r="C34">
        <v>173.2</v>
      </c>
      <c r="D34">
        <v>211.5</v>
      </c>
      <c r="E34">
        <v>171</v>
      </c>
      <c r="F34">
        <v>179.6</v>
      </c>
      <c r="G34">
        <v>173.3</v>
      </c>
      <c r="H34">
        <v>169</v>
      </c>
      <c r="I34">
        <v>148.69999999999999</v>
      </c>
      <c r="J34">
        <v>174.9</v>
      </c>
      <c r="K34">
        <v>121.9</v>
      </c>
      <c r="L34">
        <v>221</v>
      </c>
      <c r="M34">
        <v>178.7</v>
      </c>
      <c r="N34">
        <v>191.1</v>
      </c>
      <c r="O34">
        <v>176.8</v>
      </c>
      <c r="P34">
        <v>199.9</v>
      </c>
      <c r="Q34">
        <v>191.2</v>
      </c>
      <c r="R34">
        <v>187.9</v>
      </c>
      <c r="S34">
        <v>190.8</v>
      </c>
      <c r="T34" t="s">
        <v>30</v>
      </c>
      <c r="U34">
        <v>182.5</v>
      </c>
      <c r="V34">
        <v>179.8</v>
      </c>
      <c r="W34">
        <v>187.8</v>
      </c>
      <c r="X34">
        <v>169.7</v>
      </c>
      <c r="Y34">
        <v>173.8</v>
      </c>
      <c r="Z34">
        <v>180.3</v>
      </c>
      <c r="AA34">
        <v>184.9</v>
      </c>
      <c r="AB34">
        <v>179.5</v>
      </c>
      <c r="AC34" s="34">
        <v>-0.1048233046800382</v>
      </c>
    </row>
    <row r="37" spans="1:29" x14ac:dyDescent="0.3">
      <c r="A37" s="50" t="s">
        <v>126</v>
      </c>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row>
    <row r="38" spans="1:29" x14ac:dyDescent="0.3">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row>
    <row r="39" spans="1:29" x14ac:dyDescent="0.3">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row>
    <row r="40" spans="1:29" x14ac:dyDescent="0.3">
      <c r="A40" s="49" t="s">
        <v>123</v>
      </c>
      <c r="B40" s="49"/>
      <c r="C40" s="45">
        <f t="shared" ref="C40:S40" si="2">CORREL(C42:C70,$AC$6:$AC$34)</f>
        <v>-0.41560681523821685</v>
      </c>
      <c r="D40" s="45">
        <f t="shared" si="2"/>
        <v>-0.38003502933210043</v>
      </c>
      <c r="E40" s="45">
        <f t="shared" si="2"/>
        <v>-0.10441266661067683</v>
      </c>
      <c r="F40" s="45">
        <f t="shared" si="2"/>
        <v>-0.44194678880244681</v>
      </c>
      <c r="G40" s="45">
        <f t="shared" si="2"/>
        <v>-0.36736982207303315</v>
      </c>
      <c r="H40" s="45">
        <f t="shared" si="2"/>
        <v>-0.44519802231260897</v>
      </c>
      <c r="I40" s="45">
        <f t="shared" si="2"/>
        <v>-6.8952907377067552E-2</v>
      </c>
      <c r="J40" s="45">
        <f t="shared" si="2"/>
        <v>-0.42034920153592098</v>
      </c>
      <c r="K40" s="45">
        <f t="shared" si="2"/>
        <v>-0.38248809795823063</v>
      </c>
      <c r="L40" s="45">
        <f t="shared" si="2"/>
        <v>-0.43706695249873262</v>
      </c>
      <c r="M40" s="45">
        <f t="shared" si="2"/>
        <v>-0.47790525215163138</v>
      </c>
      <c r="N40" s="45">
        <f t="shared" si="2"/>
        <v>-0.45946933293839926</v>
      </c>
      <c r="O40" s="45">
        <f t="shared" si="2"/>
        <v>-0.47032467343249518</v>
      </c>
      <c r="P40" s="45">
        <f t="shared" si="2"/>
        <v>-0.4511608241072177</v>
      </c>
      <c r="Q40" s="45">
        <f t="shared" si="2"/>
        <v>-0.44764849647853233</v>
      </c>
      <c r="R40" s="45">
        <f t="shared" si="2"/>
        <v>-0.44198780319038078</v>
      </c>
      <c r="S40" s="45">
        <f t="shared" si="2"/>
        <v>-0.44750016400600878</v>
      </c>
      <c r="T40" s="45">
        <f>CORREL(T42:T70,AC42:AC70)</f>
        <v>-0.44251768823892246</v>
      </c>
      <c r="U40" s="45">
        <f t="shared" ref="U40:AB40" si="3">CORREL(U42:U70,$AC$6:$AC$34)</f>
        <v>-0.53691782009867206</v>
      </c>
      <c r="V40" s="45">
        <f t="shared" si="3"/>
        <v>-0.45110769645077814</v>
      </c>
      <c r="W40" s="45">
        <f t="shared" si="3"/>
        <v>-0.4388745538887871</v>
      </c>
      <c r="X40" s="45">
        <f t="shared" si="3"/>
        <v>-0.4604402029837345</v>
      </c>
      <c r="Y40" s="45">
        <f t="shared" si="3"/>
        <v>-0.45002636023123732</v>
      </c>
      <c r="Z40" s="45">
        <f t="shared" si="3"/>
        <v>-0.49378622322004218</v>
      </c>
      <c r="AA40" s="45">
        <f t="shared" si="3"/>
        <v>-0.39953092262110051</v>
      </c>
      <c r="AB40" s="45">
        <f t="shared" si="3"/>
        <v>-0.46262549109037127</v>
      </c>
      <c r="AC40" s="45"/>
    </row>
    <row r="41" spans="1:29" x14ac:dyDescent="0.3">
      <c r="A41" s="46" t="s">
        <v>1</v>
      </c>
      <c r="B41" s="46" t="s">
        <v>2</v>
      </c>
      <c r="C41" s="47" t="s">
        <v>3</v>
      </c>
      <c r="D41" s="47" t="s">
        <v>4</v>
      </c>
      <c r="E41" s="47" t="s">
        <v>5</v>
      </c>
      <c r="F41" s="47" t="s">
        <v>6</v>
      </c>
      <c r="G41" s="47" t="s">
        <v>7</v>
      </c>
      <c r="H41" s="47" t="s">
        <v>8</v>
      </c>
      <c r="I41" s="47" t="s">
        <v>9</v>
      </c>
      <c r="J41" s="47" t="s">
        <v>10</v>
      </c>
      <c r="K41" s="47" t="s">
        <v>11</v>
      </c>
      <c r="L41" s="47" t="s">
        <v>12</v>
      </c>
      <c r="M41" s="47" t="s">
        <v>13</v>
      </c>
      <c r="N41" s="47" t="s">
        <v>57</v>
      </c>
      <c r="O41" s="47" t="s">
        <v>14</v>
      </c>
      <c r="P41" s="47" t="s">
        <v>15</v>
      </c>
      <c r="Q41" s="47" t="s">
        <v>16</v>
      </c>
      <c r="R41" s="47" t="s">
        <v>17</v>
      </c>
      <c r="S41" s="47" t="s">
        <v>18</v>
      </c>
      <c r="T41" s="47" t="s">
        <v>19</v>
      </c>
      <c r="U41" s="47" t="s">
        <v>20</v>
      </c>
      <c r="V41" s="47" t="s">
        <v>21</v>
      </c>
      <c r="W41" s="47" t="s">
        <v>22</v>
      </c>
      <c r="X41" s="47" t="s">
        <v>23</v>
      </c>
      <c r="Y41" s="47" t="s">
        <v>24</v>
      </c>
      <c r="Z41" s="47" t="s">
        <v>25</v>
      </c>
      <c r="AA41" s="47" t="s">
        <v>56</v>
      </c>
      <c r="AB41" s="47" t="s">
        <v>26</v>
      </c>
      <c r="AC41" s="47" t="s">
        <v>124</v>
      </c>
    </row>
    <row r="42" spans="1:29" x14ac:dyDescent="0.3">
      <c r="A42">
        <v>2021</v>
      </c>
      <c r="B42" t="s">
        <v>29</v>
      </c>
      <c r="C42">
        <v>148</v>
      </c>
      <c r="D42">
        <v>194.8</v>
      </c>
      <c r="E42">
        <v>178.4</v>
      </c>
      <c r="F42">
        <v>154.4</v>
      </c>
      <c r="G42">
        <v>144.1</v>
      </c>
      <c r="H42">
        <v>152.6</v>
      </c>
      <c r="I42">
        <v>206.8</v>
      </c>
      <c r="J42">
        <v>162.1</v>
      </c>
      <c r="K42">
        <v>116.3</v>
      </c>
      <c r="L42">
        <v>163</v>
      </c>
      <c r="M42">
        <v>145.9</v>
      </c>
      <c r="N42">
        <v>167.2</v>
      </c>
      <c r="O42">
        <v>163.4</v>
      </c>
      <c r="P42">
        <v>191.8</v>
      </c>
      <c r="Q42">
        <v>152.5</v>
      </c>
      <c r="R42">
        <v>137.30000000000001</v>
      </c>
      <c r="S42">
        <v>150.19999999999999</v>
      </c>
      <c r="T42">
        <v>157.69999999999999</v>
      </c>
      <c r="U42">
        <v>142.9</v>
      </c>
      <c r="V42">
        <v>145.69999999999999</v>
      </c>
      <c r="W42">
        <v>154.1</v>
      </c>
      <c r="X42">
        <v>136.9</v>
      </c>
      <c r="Y42">
        <v>145.4</v>
      </c>
      <c r="Z42">
        <v>156.1</v>
      </c>
      <c r="AA42">
        <v>157.69999999999999</v>
      </c>
      <c r="AB42">
        <v>147.6</v>
      </c>
      <c r="AC42" s="34">
        <v>0.18439256376999599</v>
      </c>
    </row>
    <row r="43" spans="1:29" x14ac:dyDescent="0.3">
      <c r="A43" s="47">
        <v>2021</v>
      </c>
      <c r="B43" s="47" t="s">
        <v>33</v>
      </c>
      <c r="C43" s="47">
        <v>147.6</v>
      </c>
      <c r="D43" s="47">
        <v>191.2</v>
      </c>
      <c r="E43" s="47">
        <v>169.9</v>
      </c>
      <c r="F43" s="47">
        <v>155.1</v>
      </c>
      <c r="G43" s="47">
        <v>151.4</v>
      </c>
      <c r="H43" s="47">
        <v>154</v>
      </c>
      <c r="I43" s="47">
        <v>180.2</v>
      </c>
      <c r="J43" s="47">
        <v>159.80000000000001</v>
      </c>
      <c r="K43" s="47">
        <v>114.9</v>
      </c>
      <c r="L43" s="47">
        <v>162.5</v>
      </c>
      <c r="M43" s="47">
        <v>149.19999999999999</v>
      </c>
      <c r="N43" s="47">
        <v>169.4</v>
      </c>
      <c r="O43" s="47">
        <v>160.80000000000001</v>
      </c>
      <c r="P43" s="47">
        <v>193.3</v>
      </c>
      <c r="Q43" s="47">
        <v>154.19999999999999</v>
      </c>
      <c r="R43" s="47">
        <v>138.19999999999999</v>
      </c>
      <c r="S43" s="47">
        <v>151.80000000000001</v>
      </c>
      <c r="T43" s="47">
        <v>159.80000000000001</v>
      </c>
      <c r="U43" s="47">
        <v>149.1</v>
      </c>
      <c r="V43" s="47">
        <v>146.5</v>
      </c>
      <c r="W43" s="47">
        <v>156.30000000000001</v>
      </c>
      <c r="X43" s="47">
        <v>140.5</v>
      </c>
      <c r="Y43" s="47">
        <v>147.30000000000001</v>
      </c>
      <c r="Z43" s="47">
        <v>156.6</v>
      </c>
      <c r="AA43" s="47">
        <v>156.69999999999999</v>
      </c>
      <c r="AB43" s="47">
        <v>149.30000000000001</v>
      </c>
      <c r="AC43" s="48">
        <v>0.11735718196751233</v>
      </c>
    </row>
    <row r="44" spans="1:29" x14ac:dyDescent="0.3">
      <c r="A44">
        <v>2021</v>
      </c>
      <c r="B44" t="s">
        <v>34</v>
      </c>
      <c r="C44">
        <v>147.5</v>
      </c>
      <c r="D44">
        <v>197.5</v>
      </c>
      <c r="E44">
        <v>164.7</v>
      </c>
      <c r="F44">
        <v>155.6</v>
      </c>
      <c r="G44">
        <v>156.4</v>
      </c>
      <c r="H44">
        <v>157.30000000000001</v>
      </c>
      <c r="I44">
        <v>166.1</v>
      </c>
      <c r="J44">
        <v>161.1</v>
      </c>
      <c r="K44">
        <v>114.3</v>
      </c>
      <c r="L44">
        <v>162.6</v>
      </c>
      <c r="M44">
        <v>150.69999999999999</v>
      </c>
      <c r="N44">
        <v>170.3</v>
      </c>
      <c r="O44">
        <v>160.4</v>
      </c>
      <c r="P44">
        <v>193.5</v>
      </c>
      <c r="Q44">
        <v>155.1</v>
      </c>
      <c r="R44">
        <v>138.69999999999999</v>
      </c>
      <c r="S44">
        <v>152.6</v>
      </c>
      <c r="T44">
        <v>159.9</v>
      </c>
      <c r="U44">
        <v>154.80000000000001</v>
      </c>
      <c r="V44">
        <v>147.19999999999999</v>
      </c>
      <c r="W44">
        <v>156.9</v>
      </c>
      <c r="X44">
        <v>141.69999999999999</v>
      </c>
      <c r="Y44">
        <v>148.6</v>
      </c>
      <c r="Z44">
        <v>157.6</v>
      </c>
      <c r="AA44">
        <v>154.9</v>
      </c>
      <c r="AB44">
        <v>150</v>
      </c>
      <c r="AC44" s="34">
        <v>5.5210715452466363E-2</v>
      </c>
    </row>
    <row r="45" spans="1:29" x14ac:dyDescent="0.3">
      <c r="A45" s="47">
        <v>2021</v>
      </c>
      <c r="B45" s="47" t="s">
        <v>35</v>
      </c>
      <c r="C45" s="47">
        <v>147.6</v>
      </c>
      <c r="D45" s="47">
        <v>202.5</v>
      </c>
      <c r="E45" s="47">
        <v>166.4</v>
      </c>
      <c r="F45" s="47">
        <v>156</v>
      </c>
      <c r="G45" s="47">
        <v>161.4</v>
      </c>
      <c r="H45" s="47">
        <v>168.8</v>
      </c>
      <c r="I45" s="47">
        <v>161.6</v>
      </c>
      <c r="J45" s="47">
        <v>162.80000000000001</v>
      </c>
      <c r="K45" s="47">
        <v>114.8</v>
      </c>
      <c r="L45" s="47">
        <v>162.80000000000001</v>
      </c>
      <c r="M45" s="47">
        <v>151.5</v>
      </c>
      <c r="N45" s="47">
        <v>171.4</v>
      </c>
      <c r="O45" s="47">
        <v>162</v>
      </c>
      <c r="P45" s="47">
        <v>194.4</v>
      </c>
      <c r="Q45" s="47">
        <v>155.9</v>
      </c>
      <c r="R45" s="47">
        <v>139.30000000000001</v>
      </c>
      <c r="S45" s="47">
        <v>153.4</v>
      </c>
      <c r="T45" s="47">
        <v>161.4</v>
      </c>
      <c r="U45" s="47">
        <v>154.9</v>
      </c>
      <c r="V45" s="47">
        <v>147.6</v>
      </c>
      <c r="W45" s="47">
        <v>157.5</v>
      </c>
      <c r="X45" s="47">
        <v>142.1</v>
      </c>
      <c r="Y45" s="47">
        <v>149.1</v>
      </c>
      <c r="Z45" s="47">
        <v>157.6</v>
      </c>
      <c r="AA45" s="47">
        <v>156.6</v>
      </c>
      <c r="AB45" s="47">
        <v>150.5</v>
      </c>
      <c r="AC45" s="48">
        <v>-1.8575851393188736E-2</v>
      </c>
    </row>
    <row r="46" spans="1:29" x14ac:dyDescent="0.3">
      <c r="A46">
        <v>2021</v>
      </c>
      <c r="B46" t="s">
        <v>36</v>
      </c>
      <c r="C46">
        <v>148.80000000000001</v>
      </c>
      <c r="D46">
        <v>204.3</v>
      </c>
      <c r="E46">
        <v>173</v>
      </c>
      <c r="F46">
        <v>156.5</v>
      </c>
      <c r="G46">
        <v>168.8</v>
      </c>
      <c r="H46">
        <v>172.5</v>
      </c>
      <c r="I46">
        <v>166.5</v>
      </c>
      <c r="J46">
        <v>165.9</v>
      </c>
      <c r="K46">
        <v>115.9</v>
      </c>
      <c r="L46">
        <v>165.2</v>
      </c>
      <c r="M46">
        <v>152</v>
      </c>
      <c r="N46">
        <v>171.1</v>
      </c>
      <c r="O46">
        <v>164.2</v>
      </c>
      <c r="P46">
        <v>198.2</v>
      </c>
      <c r="Q46">
        <v>156.5</v>
      </c>
      <c r="R46">
        <v>140.19999999999999</v>
      </c>
      <c r="S46">
        <v>154.1</v>
      </c>
      <c r="T46">
        <v>161.6</v>
      </c>
      <c r="U46">
        <v>155.5</v>
      </c>
      <c r="V46">
        <v>150.1</v>
      </c>
      <c r="W46">
        <v>160.4</v>
      </c>
      <c r="X46">
        <v>145</v>
      </c>
      <c r="Y46">
        <v>152.6</v>
      </c>
      <c r="Z46">
        <v>156.6</v>
      </c>
      <c r="AA46">
        <v>157.5</v>
      </c>
      <c r="AB46">
        <v>152.30000000000001</v>
      </c>
      <c r="AC46" s="34">
        <v>5.5993690851735112E-2</v>
      </c>
    </row>
    <row r="47" spans="1:29" x14ac:dyDescent="0.3">
      <c r="A47" s="47">
        <v>2021</v>
      </c>
      <c r="B47" s="47" t="s">
        <v>37</v>
      </c>
      <c r="C47" s="47">
        <v>149.19999999999999</v>
      </c>
      <c r="D47" s="47">
        <v>205.5</v>
      </c>
      <c r="E47" s="47">
        <v>182.8</v>
      </c>
      <c r="F47" s="47">
        <v>156.5</v>
      </c>
      <c r="G47" s="47">
        <v>172.2</v>
      </c>
      <c r="H47" s="47">
        <v>171.5</v>
      </c>
      <c r="I47" s="47">
        <v>176.2</v>
      </c>
      <c r="J47" s="47">
        <v>166.9</v>
      </c>
      <c r="K47" s="47">
        <v>116.1</v>
      </c>
      <c r="L47" s="47">
        <v>165.5</v>
      </c>
      <c r="M47" s="47">
        <v>152.30000000000001</v>
      </c>
      <c r="N47" s="47">
        <v>173.3</v>
      </c>
      <c r="O47" s="47">
        <v>166.2</v>
      </c>
      <c r="P47" s="47">
        <v>195.6</v>
      </c>
      <c r="Q47" s="47">
        <v>157.30000000000001</v>
      </c>
      <c r="R47" s="47">
        <v>140.5</v>
      </c>
      <c r="S47" s="47">
        <v>154.80000000000001</v>
      </c>
      <c r="T47" s="47">
        <v>160.5</v>
      </c>
      <c r="U47" s="47">
        <v>156.1</v>
      </c>
      <c r="V47" s="47">
        <v>149.80000000000001</v>
      </c>
      <c r="W47" s="47">
        <v>160.80000000000001</v>
      </c>
      <c r="X47" s="47">
        <v>147.5</v>
      </c>
      <c r="Y47" s="47">
        <v>150.69999999999999</v>
      </c>
      <c r="Z47" s="47">
        <v>158.1</v>
      </c>
      <c r="AA47" s="47">
        <v>158</v>
      </c>
      <c r="AB47" s="47">
        <v>153.4</v>
      </c>
      <c r="AC47" s="48">
        <v>7.4831964152352271E-2</v>
      </c>
    </row>
    <row r="48" spans="1:29" x14ac:dyDescent="0.3">
      <c r="A48">
        <v>2021</v>
      </c>
      <c r="B48" t="s">
        <v>38</v>
      </c>
      <c r="C48">
        <v>149.1</v>
      </c>
      <c r="D48">
        <v>210.9</v>
      </c>
      <c r="E48">
        <v>185</v>
      </c>
      <c r="F48">
        <v>158.19999999999999</v>
      </c>
      <c r="G48">
        <v>170.6</v>
      </c>
      <c r="H48">
        <v>170.9</v>
      </c>
      <c r="I48">
        <v>186.4</v>
      </c>
      <c r="J48">
        <v>164.7</v>
      </c>
      <c r="K48">
        <v>115.7</v>
      </c>
      <c r="L48">
        <v>165.5</v>
      </c>
      <c r="M48">
        <v>153.4</v>
      </c>
      <c r="N48">
        <v>173.5</v>
      </c>
      <c r="O48">
        <v>167.9</v>
      </c>
      <c r="P48">
        <v>195.5</v>
      </c>
      <c r="Q48">
        <v>157.9</v>
      </c>
      <c r="R48">
        <v>141.9</v>
      </c>
      <c r="S48">
        <v>155.5</v>
      </c>
      <c r="T48">
        <v>161.5</v>
      </c>
      <c r="U48">
        <v>157.69999999999999</v>
      </c>
      <c r="V48">
        <v>150.69999999999999</v>
      </c>
      <c r="W48">
        <v>161.5</v>
      </c>
      <c r="X48">
        <v>149.5</v>
      </c>
      <c r="Y48">
        <v>151.19999999999999</v>
      </c>
      <c r="Z48">
        <v>160.30000000000001</v>
      </c>
      <c r="AA48">
        <v>159.6</v>
      </c>
      <c r="AB48">
        <v>155</v>
      </c>
      <c r="AC48" s="34">
        <v>2.1956642579210817E-2</v>
      </c>
    </row>
    <row r="49" spans="1:29" x14ac:dyDescent="0.3">
      <c r="A49" s="47">
        <v>2021</v>
      </c>
      <c r="B49" s="47" t="s">
        <v>39</v>
      </c>
      <c r="C49" s="47">
        <v>149.30000000000001</v>
      </c>
      <c r="D49" s="47">
        <v>207.4</v>
      </c>
      <c r="E49" s="47">
        <v>174.1</v>
      </c>
      <c r="F49" s="47">
        <v>159.19999999999999</v>
      </c>
      <c r="G49" s="47">
        <v>175</v>
      </c>
      <c r="H49" s="47">
        <v>161.30000000000001</v>
      </c>
      <c r="I49" s="47">
        <v>183.3</v>
      </c>
      <c r="J49" s="47">
        <v>164.5</v>
      </c>
      <c r="K49" s="47">
        <v>120.4</v>
      </c>
      <c r="L49" s="47">
        <v>166.2</v>
      </c>
      <c r="M49" s="47">
        <v>154.80000000000001</v>
      </c>
      <c r="N49" s="47">
        <v>175.1</v>
      </c>
      <c r="O49" s="47">
        <v>167.3</v>
      </c>
      <c r="P49" s="47">
        <v>196.5</v>
      </c>
      <c r="Q49" s="47">
        <v>159.80000000000001</v>
      </c>
      <c r="R49" s="47">
        <v>143.6</v>
      </c>
      <c r="S49" s="47">
        <v>157.30000000000001</v>
      </c>
      <c r="T49" s="47">
        <v>162.1</v>
      </c>
      <c r="U49" s="47">
        <v>160.69999999999999</v>
      </c>
      <c r="V49" s="47">
        <v>153.19999999999999</v>
      </c>
      <c r="W49" s="47">
        <v>162.80000000000001</v>
      </c>
      <c r="X49" s="47">
        <v>150.4</v>
      </c>
      <c r="Y49" s="47">
        <v>153.69999999999999</v>
      </c>
      <c r="Z49" s="47">
        <v>160.4</v>
      </c>
      <c r="AA49" s="47">
        <v>159.6</v>
      </c>
      <c r="AB49" s="47">
        <v>156</v>
      </c>
      <c r="AC49" s="48">
        <v>-5.4392167527876012E-2</v>
      </c>
    </row>
    <row r="50" spans="1:29" ht="16.8" customHeight="1" x14ac:dyDescent="0.3">
      <c r="A50">
        <v>2021</v>
      </c>
      <c r="B50" t="s">
        <v>40</v>
      </c>
      <c r="C50">
        <v>149.30000000000001</v>
      </c>
      <c r="D50">
        <v>207.4</v>
      </c>
      <c r="E50">
        <v>174.1</v>
      </c>
      <c r="F50">
        <v>159.1</v>
      </c>
      <c r="G50">
        <v>175</v>
      </c>
      <c r="H50">
        <v>161.19999999999999</v>
      </c>
      <c r="I50">
        <v>183.5</v>
      </c>
      <c r="J50">
        <v>164.5</v>
      </c>
      <c r="K50">
        <v>120.4</v>
      </c>
      <c r="L50">
        <v>166.2</v>
      </c>
      <c r="M50">
        <v>154.80000000000001</v>
      </c>
      <c r="N50">
        <v>175.1</v>
      </c>
      <c r="O50">
        <v>167.3</v>
      </c>
      <c r="P50">
        <v>196.5</v>
      </c>
      <c r="Q50">
        <v>159.80000000000001</v>
      </c>
      <c r="R50">
        <v>143.6</v>
      </c>
      <c r="S50">
        <v>157.4</v>
      </c>
      <c r="T50">
        <v>162.1</v>
      </c>
      <c r="U50">
        <v>160.80000000000001</v>
      </c>
      <c r="V50">
        <v>153.30000000000001</v>
      </c>
      <c r="W50">
        <v>162.80000000000001</v>
      </c>
      <c r="X50">
        <v>150.5</v>
      </c>
      <c r="Y50">
        <v>153.9</v>
      </c>
      <c r="Z50">
        <v>160.30000000000001</v>
      </c>
      <c r="AA50">
        <v>159.6</v>
      </c>
      <c r="AB50">
        <v>156</v>
      </c>
      <c r="AC50" s="34">
        <v>5.1624964049467703E-2</v>
      </c>
    </row>
    <row r="51" spans="1:29" x14ac:dyDescent="0.3">
      <c r="A51" s="47">
        <v>2021</v>
      </c>
      <c r="B51" s="47" t="s">
        <v>41</v>
      </c>
      <c r="C51" s="47">
        <v>150.1</v>
      </c>
      <c r="D51" s="47">
        <v>208.4</v>
      </c>
      <c r="E51" s="47">
        <v>173</v>
      </c>
      <c r="F51" s="47">
        <v>159.19999999999999</v>
      </c>
      <c r="G51" s="47">
        <v>176.6</v>
      </c>
      <c r="H51" s="47">
        <v>159.30000000000001</v>
      </c>
      <c r="I51" s="47">
        <v>214.4</v>
      </c>
      <c r="J51" s="47">
        <v>165.3</v>
      </c>
      <c r="K51" s="47">
        <v>122.5</v>
      </c>
      <c r="L51" s="47">
        <v>166.8</v>
      </c>
      <c r="M51" s="47">
        <v>155.4</v>
      </c>
      <c r="N51" s="47">
        <v>175.9</v>
      </c>
      <c r="O51" s="47">
        <v>171.5</v>
      </c>
      <c r="P51" s="47">
        <v>197</v>
      </c>
      <c r="Q51" s="47">
        <v>160.80000000000001</v>
      </c>
      <c r="R51" s="47">
        <v>144.4</v>
      </c>
      <c r="S51" s="47">
        <v>158.30000000000001</v>
      </c>
      <c r="T51" s="47">
        <v>163.6</v>
      </c>
      <c r="U51" s="47">
        <v>162.19999999999999</v>
      </c>
      <c r="V51" s="47">
        <v>154.30000000000001</v>
      </c>
      <c r="W51" s="47">
        <v>163.5</v>
      </c>
      <c r="X51" s="47">
        <v>152.19999999999999</v>
      </c>
      <c r="Y51" s="47">
        <v>155.1</v>
      </c>
      <c r="Z51" s="47">
        <v>160.30000000000001</v>
      </c>
      <c r="AA51" s="47">
        <v>160.30000000000001</v>
      </c>
      <c r="AB51" s="47">
        <v>157</v>
      </c>
      <c r="AC51" s="48">
        <v>0.12279502256255981</v>
      </c>
    </row>
    <row r="52" spans="1:29" x14ac:dyDescent="0.3">
      <c r="A52">
        <v>2021</v>
      </c>
      <c r="B52" t="s">
        <v>43</v>
      </c>
      <c r="C52">
        <v>151</v>
      </c>
      <c r="D52">
        <v>204.9</v>
      </c>
      <c r="E52">
        <v>175.4</v>
      </c>
      <c r="F52">
        <v>159.6</v>
      </c>
      <c r="G52">
        <v>175.8</v>
      </c>
      <c r="H52">
        <v>160.30000000000001</v>
      </c>
      <c r="I52">
        <v>229.1</v>
      </c>
      <c r="J52">
        <v>165.1</v>
      </c>
      <c r="K52">
        <v>123.1</v>
      </c>
      <c r="L52">
        <v>167.2</v>
      </c>
      <c r="M52">
        <v>156.1</v>
      </c>
      <c r="N52">
        <v>176.8</v>
      </c>
      <c r="O52">
        <v>173.5</v>
      </c>
      <c r="P52">
        <v>197</v>
      </c>
      <c r="Q52">
        <v>162.30000000000001</v>
      </c>
      <c r="R52">
        <v>145.30000000000001</v>
      </c>
      <c r="S52">
        <v>159.69999999999999</v>
      </c>
      <c r="T52">
        <v>164.2</v>
      </c>
      <c r="U52">
        <v>161.6</v>
      </c>
      <c r="V52">
        <v>155.19999999999999</v>
      </c>
      <c r="W52">
        <v>164.2</v>
      </c>
      <c r="X52">
        <v>151.19999999999999</v>
      </c>
      <c r="Y52">
        <v>156.69999999999999</v>
      </c>
      <c r="Z52">
        <v>160.80000000000001</v>
      </c>
      <c r="AA52">
        <v>161.80000000000001</v>
      </c>
      <c r="AB52">
        <v>157.30000000000001</v>
      </c>
      <c r="AC52" s="34">
        <v>-1.7902813299232712E-2</v>
      </c>
    </row>
    <row r="53" spans="1:29" x14ac:dyDescent="0.3">
      <c r="A53" s="47">
        <v>2021</v>
      </c>
      <c r="B53" s="47" t="s">
        <v>44</v>
      </c>
      <c r="C53" s="47">
        <v>151.6</v>
      </c>
      <c r="D53" s="47">
        <v>202.2</v>
      </c>
      <c r="E53" s="47">
        <v>180</v>
      </c>
      <c r="F53" s="47">
        <v>160</v>
      </c>
      <c r="G53" s="47">
        <v>173.5</v>
      </c>
      <c r="H53" s="47">
        <v>158.30000000000001</v>
      </c>
      <c r="I53" s="47">
        <v>219.5</v>
      </c>
      <c r="J53" s="47">
        <v>164.2</v>
      </c>
      <c r="K53" s="47">
        <v>121.9</v>
      </c>
      <c r="L53" s="47">
        <v>168.2</v>
      </c>
      <c r="M53" s="47">
        <v>156.5</v>
      </c>
      <c r="N53" s="47">
        <v>178.2</v>
      </c>
      <c r="O53" s="47">
        <v>172.2</v>
      </c>
      <c r="P53" s="47">
        <v>196.8</v>
      </c>
      <c r="Q53" s="47">
        <v>163.30000000000001</v>
      </c>
      <c r="R53" s="47">
        <v>146.69999999999999</v>
      </c>
      <c r="S53" s="47">
        <v>160.69999999999999</v>
      </c>
      <c r="T53" s="47">
        <v>163.4</v>
      </c>
      <c r="U53" s="47">
        <v>161.69999999999999</v>
      </c>
      <c r="V53" s="47">
        <v>156</v>
      </c>
      <c r="W53" s="47">
        <v>165.1</v>
      </c>
      <c r="X53" s="47">
        <v>151.80000000000001</v>
      </c>
      <c r="Y53" s="47">
        <v>157.6</v>
      </c>
      <c r="Z53" s="47">
        <v>160.6</v>
      </c>
      <c r="AA53" s="47">
        <v>162.4</v>
      </c>
      <c r="AB53" s="47">
        <v>157.80000000000001</v>
      </c>
      <c r="AC53" s="48">
        <v>-9.1021825396825462E-2</v>
      </c>
    </row>
    <row r="54" spans="1:29" x14ac:dyDescent="0.3">
      <c r="A54">
        <v>2022</v>
      </c>
      <c r="B54" t="s">
        <v>29</v>
      </c>
      <c r="C54">
        <v>152.19999999999999</v>
      </c>
      <c r="D54">
        <v>202.1</v>
      </c>
      <c r="E54">
        <v>180.1</v>
      </c>
      <c r="F54">
        <v>160.4</v>
      </c>
      <c r="G54">
        <v>171</v>
      </c>
      <c r="H54">
        <v>156.5</v>
      </c>
      <c r="I54">
        <v>203.6</v>
      </c>
      <c r="J54">
        <v>163.80000000000001</v>
      </c>
      <c r="K54">
        <v>121.3</v>
      </c>
      <c r="L54">
        <v>169.8</v>
      </c>
      <c r="M54">
        <v>156.6</v>
      </c>
      <c r="N54">
        <v>179</v>
      </c>
      <c r="O54">
        <v>170.3</v>
      </c>
      <c r="P54">
        <v>196.4</v>
      </c>
      <c r="Q54">
        <v>164.7</v>
      </c>
      <c r="R54">
        <v>148.5</v>
      </c>
      <c r="S54">
        <v>162.19999999999999</v>
      </c>
      <c r="T54">
        <v>164.5</v>
      </c>
      <c r="U54">
        <v>161.6</v>
      </c>
      <c r="V54">
        <v>156.80000000000001</v>
      </c>
      <c r="W54">
        <v>166.1</v>
      </c>
      <c r="X54">
        <v>152.69999999999999</v>
      </c>
      <c r="Y54">
        <v>158.4</v>
      </c>
      <c r="Z54">
        <v>161</v>
      </c>
      <c r="AA54">
        <v>162.80000000000001</v>
      </c>
      <c r="AB54">
        <v>158.6</v>
      </c>
      <c r="AC54" s="34">
        <v>0.21637107776261932</v>
      </c>
    </row>
    <row r="55" spans="1:29" x14ac:dyDescent="0.3">
      <c r="A55" s="47">
        <v>2022</v>
      </c>
      <c r="B55" s="47" t="s">
        <v>33</v>
      </c>
      <c r="C55" s="47">
        <v>152.5</v>
      </c>
      <c r="D55" s="47">
        <v>205.2</v>
      </c>
      <c r="E55" s="47">
        <v>176.4</v>
      </c>
      <c r="F55" s="47">
        <v>160.6</v>
      </c>
      <c r="G55" s="47">
        <v>171.5</v>
      </c>
      <c r="H55" s="47">
        <v>156.4</v>
      </c>
      <c r="I55" s="47">
        <v>198</v>
      </c>
      <c r="J55" s="47">
        <v>163.19999999999999</v>
      </c>
      <c r="K55" s="47">
        <v>120.6</v>
      </c>
      <c r="L55" s="47">
        <v>172.2</v>
      </c>
      <c r="M55" s="47">
        <v>156.69999999999999</v>
      </c>
      <c r="N55" s="47">
        <v>180</v>
      </c>
      <c r="O55" s="47">
        <v>170.2</v>
      </c>
      <c r="P55" s="47">
        <v>196.5</v>
      </c>
      <c r="Q55" s="47">
        <v>165.7</v>
      </c>
      <c r="R55" s="47">
        <v>150.4</v>
      </c>
      <c r="S55" s="47">
        <v>163.4</v>
      </c>
      <c r="T55" s="47">
        <v>165.5</v>
      </c>
      <c r="U55" s="47">
        <v>163</v>
      </c>
      <c r="V55" s="47">
        <v>157.4</v>
      </c>
      <c r="W55" s="47">
        <v>167.2</v>
      </c>
      <c r="X55" s="47">
        <v>153.1</v>
      </c>
      <c r="Y55" s="47">
        <v>159.5</v>
      </c>
      <c r="Z55" s="47">
        <v>162</v>
      </c>
      <c r="AA55" s="47">
        <v>164.2</v>
      </c>
      <c r="AB55" s="47">
        <v>159.4</v>
      </c>
      <c r="AC55" s="48">
        <v>7.8174069089277598E-2</v>
      </c>
    </row>
    <row r="56" spans="1:29" x14ac:dyDescent="0.3">
      <c r="A56">
        <v>2022</v>
      </c>
      <c r="B56" t="s">
        <v>34</v>
      </c>
      <c r="C56">
        <v>153.69999999999999</v>
      </c>
      <c r="D56">
        <v>215.8</v>
      </c>
      <c r="E56">
        <v>167.7</v>
      </c>
      <c r="F56">
        <v>162.6</v>
      </c>
      <c r="G56">
        <v>180</v>
      </c>
      <c r="H56">
        <v>159.6</v>
      </c>
      <c r="I56">
        <v>188.4</v>
      </c>
      <c r="J56">
        <v>163.4</v>
      </c>
      <c r="K56">
        <v>120.3</v>
      </c>
      <c r="L56">
        <v>174.7</v>
      </c>
      <c r="M56">
        <v>157.1</v>
      </c>
      <c r="N56">
        <v>181.5</v>
      </c>
      <c r="O56">
        <v>171.5</v>
      </c>
      <c r="P56">
        <v>197.5</v>
      </c>
      <c r="Q56">
        <v>167.1</v>
      </c>
      <c r="R56">
        <v>152.6</v>
      </c>
      <c r="S56">
        <v>164.9</v>
      </c>
      <c r="T56">
        <v>165.3</v>
      </c>
      <c r="U56">
        <v>164.5</v>
      </c>
      <c r="V56">
        <v>158.6</v>
      </c>
      <c r="W56">
        <v>168.2</v>
      </c>
      <c r="X56">
        <v>154.19999999999999</v>
      </c>
      <c r="Y56">
        <v>160.80000000000001</v>
      </c>
      <c r="Z56">
        <v>162.69999999999999</v>
      </c>
      <c r="AA56">
        <v>166.8</v>
      </c>
      <c r="AB56">
        <v>160.6</v>
      </c>
      <c r="AC56" s="34">
        <v>0.17413918651825666</v>
      </c>
    </row>
    <row r="57" spans="1:29" x14ac:dyDescent="0.3">
      <c r="A57" s="47">
        <v>2022</v>
      </c>
      <c r="B57" s="47" t="s">
        <v>35</v>
      </c>
      <c r="C57" s="47">
        <v>155.4</v>
      </c>
      <c r="D57" s="47">
        <v>215.8</v>
      </c>
      <c r="E57" s="47">
        <v>164.6</v>
      </c>
      <c r="F57" s="47">
        <v>164.2</v>
      </c>
      <c r="G57" s="47">
        <v>186</v>
      </c>
      <c r="H57" s="47">
        <v>175.9</v>
      </c>
      <c r="I57" s="47">
        <v>190.7</v>
      </c>
      <c r="J57" s="47">
        <v>164</v>
      </c>
      <c r="K57" s="47">
        <v>120.5</v>
      </c>
      <c r="L57" s="47">
        <v>178</v>
      </c>
      <c r="M57" s="47">
        <v>157.5</v>
      </c>
      <c r="N57" s="47">
        <v>183.3</v>
      </c>
      <c r="O57" s="47">
        <v>174.5</v>
      </c>
      <c r="P57" s="47">
        <v>197.1</v>
      </c>
      <c r="Q57" s="47">
        <v>168.4</v>
      </c>
      <c r="R57" s="47">
        <v>154.5</v>
      </c>
      <c r="S57" s="47">
        <v>166.3</v>
      </c>
      <c r="T57" s="47">
        <v>167</v>
      </c>
      <c r="U57" s="47">
        <v>170.5</v>
      </c>
      <c r="V57" s="47">
        <v>159.80000000000001</v>
      </c>
      <c r="W57" s="47">
        <v>169</v>
      </c>
      <c r="X57" s="47">
        <v>159.30000000000001</v>
      </c>
      <c r="Y57" s="47">
        <v>162.19999999999999</v>
      </c>
      <c r="Z57" s="47">
        <v>164</v>
      </c>
      <c r="AA57" s="47">
        <v>168.4</v>
      </c>
      <c r="AB57" s="47">
        <v>163.1</v>
      </c>
      <c r="AC57" s="48">
        <v>-8.7711526534951734E-2</v>
      </c>
    </row>
    <row r="58" spans="1:29" x14ac:dyDescent="0.3">
      <c r="A58">
        <v>2022</v>
      </c>
      <c r="B58" t="s">
        <v>36</v>
      </c>
      <c r="C58">
        <v>156.69999999999999</v>
      </c>
      <c r="D58">
        <v>221.2</v>
      </c>
      <c r="E58">
        <v>164.1</v>
      </c>
      <c r="F58">
        <v>165.4</v>
      </c>
      <c r="G58">
        <v>189.5</v>
      </c>
      <c r="H58">
        <v>174.5</v>
      </c>
      <c r="I58">
        <v>203.2</v>
      </c>
      <c r="J58">
        <v>164.1</v>
      </c>
      <c r="K58">
        <v>121.2</v>
      </c>
      <c r="L58">
        <v>181.4</v>
      </c>
      <c r="M58">
        <v>158.5</v>
      </c>
      <c r="N58">
        <v>184.9</v>
      </c>
      <c r="O58">
        <v>177.5</v>
      </c>
      <c r="P58">
        <v>197.5</v>
      </c>
      <c r="Q58">
        <v>170</v>
      </c>
      <c r="R58">
        <v>155.9</v>
      </c>
      <c r="S58">
        <v>167.8</v>
      </c>
      <c r="T58">
        <v>167.5</v>
      </c>
      <c r="U58">
        <v>173.5</v>
      </c>
      <c r="V58">
        <v>161.1</v>
      </c>
      <c r="W58">
        <v>170.1</v>
      </c>
      <c r="X58">
        <v>159.4</v>
      </c>
      <c r="Y58">
        <v>163.19999999999999</v>
      </c>
      <c r="Z58">
        <v>165.2</v>
      </c>
      <c r="AA58">
        <v>168.2</v>
      </c>
      <c r="AB58">
        <v>163.80000000000001</v>
      </c>
      <c r="AC58" s="34">
        <v>6.3513644750898379E-2</v>
      </c>
    </row>
    <row r="59" spans="1:29" x14ac:dyDescent="0.3">
      <c r="A59" s="47">
        <v>2022</v>
      </c>
      <c r="B59" s="47" t="s">
        <v>37</v>
      </c>
      <c r="C59" s="47">
        <v>157.5</v>
      </c>
      <c r="D59" s="47">
        <v>223.4</v>
      </c>
      <c r="E59" s="47">
        <v>172.8</v>
      </c>
      <c r="F59" s="47">
        <v>166.4</v>
      </c>
      <c r="G59" s="47">
        <v>188.6</v>
      </c>
      <c r="H59" s="47">
        <v>174.1</v>
      </c>
      <c r="I59" s="47">
        <v>211.5</v>
      </c>
      <c r="J59" s="47">
        <v>163.6</v>
      </c>
      <c r="K59" s="47">
        <v>121.4</v>
      </c>
      <c r="L59" s="47">
        <v>183.5</v>
      </c>
      <c r="M59" s="47">
        <v>159.1</v>
      </c>
      <c r="N59" s="47">
        <v>186.3</v>
      </c>
      <c r="O59" s="47">
        <v>179.3</v>
      </c>
      <c r="P59" s="47">
        <v>198.3</v>
      </c>
      <c r="Q59" s="47">
        <v>171.6</v>
      </c>
      <c r="R59" s="47">
        <v>157.4</v>
      </c>
      <c r="S59" s="47">
        <v>169.4</v>
      </c>
      <c r="T59" s="47">
        <v>166.8</v>
      </c>
      <c r="U59" s="47">
        <v>174.9</v>
      </c>
      <c r="V59" s="47">
        <v>162.1</v>
      </c>
      <c r="W59" s="47">
        <v>170.9</v>
      </c>
      <c r="X59" s="47">
        <v>157.19999999999999</v>
      </c>
      <c r="Y59" s="47">
        <v>164.1</v>
      </c>
      <c r="Z59" s="47">
        <v>166.5</v>
      </c>
      <c r="AA59" s="47">
        <v>169.2</v>
      </c>
      <c r="AB59" s="47">
        <v>163.80000000000001</v>
      </c>
      <c r="AC59" s="48">
        <v>5.935531001735006E-2</v>
      </c>
    </row>
    <row r="60" spans="1:29" x14ac:dyDescent="0.3">
      <c r="A60">
        <v>2022</v>
      </c>
      <c r="B60" t="s">
        <v>38</v>
      </c>
      <c r="C60">
        <v>159.30000000000001</v>
      </c>
      <c r="D60">
        <v>217.1</v>
      </c>
      <c r="E60">
        <v>176.6</v>
      </c>
      <c r="F60">
        <v>167.1</v>
      </c>
      <c r="G60">
        <v>184.8</v>
      </c>
      <c r="H60">
        <v>179.5</v>
      </c>
      <c r="I60">
        <v>208.5</v>
      </c>
      <c r="J60">
        <v>164</v>
      </c>
      <c r="K60">
        <v>121.5</v>
      </c>
      <c r="L60">
        <v>186.3</v>
      </c>
      <c r="M60">
        <v>159.80000000000001</v>
      </c>
      <c r="N60">
        <v>187.7</v>
      </c>
      <c r="O60">
        <v>179.4</v>
      </c>
      <c r="P60">
        <v>198.6</v>
      </c>
      <c r="Q60">
        <v>172.7</v>
      </c>
      <c r="R60">
        <v>158.69999999999999</v>
      </c>
      <c r="S60">
        <v>170.6</v>
      </c>
      <c r="T60">
        <v>167.8</v>
      </c>
      <c r="U60">
        <v>179.5</v>
      </c>
      <c r="V60">
        <v>163.1</v>
      </c>
      <c r="W60">
        <v>171.7</v>
      </c>
      <c r="X60">
        <v>157.4</v>
      </c>
      <c r="Y60">
        <v>164.6</v>
      </c>
      <c r="Z60">
        <v>169.1</v>
      </c>
      <c r="AA60">
        <v>169.8</v>
      </c>
      <c r="AB60">
        <v>164.7</v>
      </c>
      <c r="AC60" s="34">
        <v>-9.0681837772605856E-2</v>
      </c>
    </row>
    <row r="61" spans="1:29" x14ac:dyDescent="0.3">
      <c r="A61" s="47">
        <v>2022</v>
      </c>
      <c r="B61" s="47" t="s">
        <v>39</v>
      </c>
      <c r="C61" s="47">
        <v>162.1</v>
      </c>
      <c r="D61" s="47">
        <v>210.9</v>
      </c>
      <c r="E61" s="47">
        <v>170.6</v>
      </c>
      <c r="F61" s="47">
        <v>168.4</v>
      </c>
      <c r="G61" s="47">
        <v>182.5</v>
      </c>
      <c r="H61" s="47">
        <v>177.1</v>
      </c>
      <c r="I61" s="47">
        <v>213.1</v>
      </c>
      <c r="J61" s="47">
        <v>167.3</v>
      </c>
      <c r="K61" s="47">
        <v>122.2</v>
      </c>
      <c r="L61" s="47">
        <v>189.7</v>
      </c>
      <c r="M61" s="47">
        <v>160.5</v>
      </c>
      <c r="N61" s="47">
        <v>188.9</v>
      </c>
      <c r="O61" s="47">
        <v>180.4</v>
      </c>
      <c r="P61" s="47">
        <v>198.7</v>
      </c>
      <c r="Q61" s="47">
        <v>173.7</v>
      </c>
      <c r="R61" s="47">
        <v>160</v>
      </c>
      <c r="S61" s="47">
        <v>171.6</v>
      </c>
      <c r="T61" s="47">
        <v>169</v>
      </c>
      <c r="U61" s="47">
        <v>178.4</v>
      </c>
      <c r="V61" s="47">
        <v>164.2</v>
      </c>
      <c r="W61" s="47">
        <v>172.6</v>
      </c>
      <c r="X61" s="47">
        <v>157.69999999999999</v>
      </c>
      <c r="Y61" s="47">
        <v>165.1</v>
      </c>
      <c r="Z61" s="47">
        <v>169.9</v>
      </c>
      <c r="AA61" s="47">
        <v>171.4</v>
      </c>
      <c r="AB61" s="47">
        <v>165.4</v>
      </c>
      <c r="AC61" s="48">
        <v>-7.668973362404008E-2</v>
      </c>
    </row>
    <row r="62" spans="1:29" x14ac:dyDescent="0.3">
      <c r="A62">
        <v>2022</v>
      </c>
      <c r="B62" t="s">
        <v>40</v>
      </c>
      <c r="C62">
        <v>164.9</v>
      </c>
      <c r="D62">
        <v>213.7</v>
      </c>
      <c r="E62">
        <v>170.9</v>
      </c>
      <c r="F62">
        <v>170.1</v>
      </c>
      <c r="G62">
        <v>179.3</v>
      </c>
      <c r="H62">
        <v>167.5</v>
      </c>
      <c r="I62">
        <v>220.8</v>
      </c>
      <c r="J62">
        <v>169.2</v>
      </c>
      <c r="K62">
        <v>123.1</v>
      </c>
      <c r="L62">
        <v>193.6</v>
      </c>
      <c r="M62">
        <v>161.1</v>
      </c>
      <c r="N62">
        <v>190.4</v>
      </c>
      <c r="O62">
        <v>181.8</v>
      </c>
      <c r="P62">
        <v>199.7</v>
      </c>
      <c r="Q62">
        <v>175</v>
      </c>
      <c r="R62">
        <v>161.69999999999999</v>
      </c>
      <c r="S62">
        <v>173</v>
      </c>
      <c r="T62">
        <v>169.5</v>
      </c>
      <c r="U62">
        <v>179.2</v>
      </c>
      <c r="V62">
        <v>165</v>
      </c>
      <c r="W62">
        <v>173.8</v>
      </c>
      <c r="X62">
        <v>158.19999999999999</v>
      </c>
      <c r="Y62">
        <v>165.8</v>
      </c>
      <c r="Z62">
        <v>170.9</v>
      </c>
      <c r="AA62">
        <v>171.1</v>
      </c>
      <c r="AB62">
        <v>166.1</v>
      </c>
      <c r="AC62" s="34">
        <v>-6.8685831622176674E-2</v>
      </c>
    </row>
    <row r="63" spans="1:29" x14ac:dyDescent="0.3">
      <c r="A63" s="47">
        <v>2022</v>
      </c>
      <c r="B63" s="47" t="s">
        <v>41</v>
      </c>
      <c r="C63" s="47">
        <v>166.4</v>
      </c>
      <c r="D63" s="47">
        <v>214.9</v>
      </c>
      <c r="E63" s="47">
        <v>171.9</v>
      </c>
      <c r="F63" s="47">
        <v>171</v>
      </c>
      <c r="G63" s="47">
        <v>177.7</v>
      </c>
      <c r="H63" s="47">
        <v>165.7</v>
      </c>
      <c r="I63" s="47">
        <v>228.6</v>
      </c>
      <c r="J63" s="47">
        <v>169.9</v>
      </c>
      <c r="K63" s="47">
        <v>123.4</v>
      </c>
      <c r="L63" s="47">
        <v>196.4</v>
      </c>
      <c r="M63" s="47">
        <v>161.6</v>
      </c>
      <c r="N63" s="47">
        <v>191.5</v>
      </c>
      <c r="O63" s="47">
        <v>183.3</v>
      </c>
      <c r="P63" s="47">
        <v>200.1</v>
      </c>
      <c r="Q63" s="47">
        <v>175.5</v>
      </c>
      <c r="R63" s="47">
        <v>162.6</v>
      </c>
      <c r="S63" s="47">
        <v>173.6</v>
      </c>
      <c r="T63" s="47">
        <v>171.2</v>
      </c>
      <c r="U63" s="47">
        <v>180</v>
      </c>
      <c r="V63" s="47">
        <v>166</v>
      </c>
      <c r="W63" s="47">
        <v>174.7</v>
      </c>
      <c r="X63" s="47">
        <v>158.80000000000001</v>
      </c>
      <c r="Y63" s="47">
        <v>166.3</v>
      </c>
      <c r="Z63" s="47">
        <v>171.2</v>
      </c>
      <c r="AA63" s="47">
        <v>172.3</v>
      </c>
      <c r="AB63" s="47">
        <v>166.8</v>
      </c>
      <c r="AC63" s="48">
        <v>1.0913901444162821E-2</v>
      </c>
    </row>
    <row r="64" spans="1:29" x14ac:dyDescent="0.3">
      <c r="A64">
        <v>2022</v>
      </c>
      <c r="B64" t="s">
        <v>43</v>
      </c>
      <c r="C64">
        <v>168.4</v>
      </c>
      <c r="D64">
        <v>213.4</v>
      </c>
      <c r="E64">
        <v>183.2</v>
      </c>
      <c r="F64">
        <v>172.3</v>
      </c>
      <c r="G64">
        <v>180</v>
      </c>
      <c r="H64">
        <v>162.6</v>
      </c>
      <c r="I64">
        <v>205.5</v>
      </c>
      <c r="J64">
        <v>171</v>
      </c>
      <c r="K64">
        <v>123.4</v>
      </c>
      <c r="L64">
        <v>198.8</v>
      </c>
      <c r="M64">
        <v>162.1</v>
      </c>
      <c r="N64">
        <v>192.4</v>
      </c>
      <c r="O64">
        <v>181.3</v>
      </c>
      <c r="P64">
        <v>200.6</v>
      </c>
      <c r="Q64">
        <v>176.7</v>
      </c>
      <c r="R64">
        <v>163.5</v>
      </c>
      <c r="S64">
        <v>174.7</v>
      </c>
      <c r="T64">
        <v>171.8</v>
      </c>
      <c r="U64">
        <v>180.3</v>
      </c>
      <c r="V64">
        <v>166.9</v>
      </c>
      <c r="W64">
        <v>175.8</v>
      </c>
      <c r="X64">
        <v>158.9</v>
      </c>
      <c r="Y64">
        <v>166.7</v>
      </c>
      <c r="Z64">
        <v>171.5</v>
      </c>
      <c r="AA64">
        <v>173.8</v>
      </c>
      <c r="AB64">
        <v>167.4</v>
      </c>
      <c r="AC64" s="34">
        <v>-4.5256270447110225E-2</v>
      </c>
    </row>
    <row r="65" spans="1:29" x14ac:dyDescent="0.3">
      <c r="A65" s="47">
        <v>2022</v>
      </c>
      <c r="B65" s="47" t="s">
        <v>44</v>
      </c>
      <c r="C65" s="47">
        <v>170.2</v>
      </c>
      <c r="D65" s="47">
        <v>212.9</v>
      </c>
      <c r="E65" s="47">
        <v>191.9</v>
      </c>
      <c r="F65" s="47">
        <v>173.9</v>
      </c>
      <c r="G65" s="47">
        <v>179.1</v>
      </c>
      <c r="H65" s="47">
        <v>159.5</v>
      </c>
      <c r="I65" s="47">
        <v>178.7</v>
      </c>
      <c r="J65" s="47">
        <v>171.3</v>
      </c>
      <c r="K65" s="47">
        <v>123.1</v>
      </c>
      <c r="L65" s="47">
        <v>200.5</v>
      </c>
      <c r="M65" s="47">
        <v>162.80000000000001</v>
      </c>
      <c r="N65" s="47">
        <v>193.3</v>
      </c>
      <c r="O65" s="47">
        <v>178.6</v>
      </c>
      <c r="P65" s="47">
        <v>201.1</v>
      </c>
      <c r="Q65" s="47">
        <v>177.7</v>
      </c>
      <c r="R65" s="47">
        <v>164.5</v>
      </c>
      <c r="S65" s="47">
        <v>175.7</v>
      </c>
      <c r="T65" s="47">
        <v>170.7</v>
      </c>
      <c r="U65" s="47">
        <v>180.6</v>
      </c>
      <c r="V65" s="47">
        <v>167.3</v>
      </c>
      <c r="W65" s="47">
        <v>177.2</v>
      </c>
      <c r="X65" s="47">
        <v>159.4</v>
      </c>
      <c r="Y65" s="47">
        <v>167.1</v>
      </c>
      <c r="Z65" s="47">
        <v>171.8</v>
      </c>
      <c r="AA65" s="47">
        <v>176</v>
      </c>
      <c r="AB65" s="47">
        <v>168.2</v>
      </c>
      <c r="AC65" s="48">
        <v>-0.10793832095945177</v>
      </c>
    </row>
    <row r="66" spans="1:29" x14ac:dyDescent="0.3">
      <c r="A66">
        <v>2023</v>
      </c>
      <c r="B66" t="s">
        <v>29</v>
      </c>
      <c r="C66">
        <v>173.3</v>
      </c>
      <c r="D66">
        <v>215.2</v>
      </c>
      <c r="E66">
        <v>197</v>
      </c>
      <c r="F66">
        <v>175.2</v>
      </c>
      <c r="G66">
        <v>178</v>
      </c>
      <c r="H66">
        <v>160.5</v>
      </c>
      <c r="I66">
        <v>175.3</v>
      </c>
      <c r="J66">
        <v>171.2</v>
      </c>
      <c r="K66">
        <v>122.7</v>
      </c>
      <c r="L66">
        <v>204.3</v>
      </c>
      <c r="M66">
        <v>163.69999999999999</v>
      </c>
      <c r="N66">
        <v>194.3</v>
      </c>
      <c r="O66">
        <v>179.5</v>
      </c>
      <c r="P66">
        <v>201.6</v>
      </c>
      <c r="Q66">
        <v>178.7</v>
      </c>
      <c r="R66">
        <v>165.3</v>
      </c>
      <c r="S66">
        <v>176.6</v>
      </c>
      <c r="T66">
        <v>172.1</v>
      </c>
      <c r="U66">
        <v>180.1</v>
      </c>
      <c r="V66">
        <v>168</v>
      </c>
      <c r="W66">
        <v>178.5</v>
      </c>
      <c r="X66">
        <v>159.5</v>
      </c>
      <c r="Y66">
        <v>167.8</v>
      </c>
      <c r="Z66">
        <v>171.8</v>
      </c>
      <c r="AA66">
        <v>178.8</v>
      </c>
      <c r="AB66">
        <v>168.9</v>
      </c>
      <c r="AC66" s="34">
        <v>3.6107554417413645E-2</v>
      </c>
    </row>
    <row r="67" spans="1:29" x14ac:dyDescent="0.3">
      <c r="A67" s="47">
        <v>2023</v>
      </c>
      <c r="B67" s="47" t="s">
        <v>33</v>
      </c>
      <c r="C67" s="47">
        <v>174.7</v>
      </c>
      <c r="D67" s="47">
        <v>212.2</v>
      </c>
      <c r="E67" s="47">
        <v>177.2</v>
      </c>
      <c r="F67" s="47">
        <v>177.9</v>
      </c>
      <c r="G67" s="47">
        <v>172.2</v>
      </c>
      <c r="H67" s="47">
        <v>172.1</v>
      </c>
      <c r="I67" s="47">
        <v>175.8</v>
      </c>
      <c r="J67" s="47">
        <v>172.2</v>
      </c>
      <c r="K67" s="47">
        <v>121.9</v>
      </c>
      <c r="L67" s="47">
        <v>204.8</v>
      </c>
      <c r="M67" s="47">
        <v>164.9</v>
      </c>
      <c r="N67" s="47">
        <v>196.6</v>
      </c>
      <c r="O67" s="47">
        <v>180.7</v>
      </c>
      <c r="P67" s="47">
        <v>202.7</v>
      </c>
      <c r="Q67" s="47">
        <v>180.3</v>
      </c>
      <c r="R67" s="47">
        <v>167</v>
      </c>
      <c r="S67" s="47">
        <v>178.2</v>
      </c>
      <c r="T67" s="47">
        <v>173.5</v>
      </c>
      <c r="U67" s="47">
        <v>182.8</v>
      </c>
      <c r="V67" s="47">
        <v>169.2</v>
      </c>
      <c r="W67" s="47">
        <v>180.8</v>
      </c>
      <c r="X67" s="47">
        <v>159.80000000000001</v>
      </c>
      <c r="Y67" s="47">
        <v>168.4</v>
      </c>
      <c r="Z67" s="47">
        <v>172.5</v>
      </c>
      <c r="AA67" s="47">
        <v>181.4</v>
      </c>
      <c r="AB67" s="47">
        <v>170</v>
      </c>
      <c r="AC67" s="48">
        <v>1.6806722689075571E-2</v>
      </c>
    </row>
    <row r="68" spans="1:29" x14ac:dyDescent="0.3">
      <c r="A68">
        <v>2023</v>
      </c>
      <c r="B68" t="s">
        <v>34</v>
      </c>
      <c r="C68">
        <v>174.7</v>
      </c>
      <c r="D68">
        <v>212.2</v>
      </c>
      <c r="E68">
        <v>177.2</v>
      </c>
      <c r="F68">
        <v>177.9</v>
      </c>
      <c r="G68">
        <v>172.2</v>
      </c>
      <c r="H68">
        <v>172.1</v>
      </c>
      <c r="I68">
        <v>175.9</v>
      </c>
      <c r="J68">
        <v>172.2</v>
      </c>
      <c r="K68">
        <v>121.9</v>
      </c>
      <c r="L68">
        <v>204.8</v>
      </c>
      <c r="M68">
        <v>164.9</v>
      </c>
      <c r="N68">
        <v>196.6</v>
      </c>
      <c r="O68">
        <v>180.8</v>
      </c>
      <c r="P68">
        <v>202.7</v>
      </c>
      <c r="Q68">
        <v>180.2</v>
      </c>
      <c r="R68">
        <v>167</v>
      </c>
      <c r="S68">
        <v>178.2</v>
      </c>
      <c r="T68">
        <v>173.5</v>
      </c>
      <c r="U68">
        <v>182.6</v>
      </c>
      <c r="V68">
        <v>169.2</v>
      </c>
      <c r="W68">
        <v>180.8</v>
      </c>
      <c r="X68">
        <v>159.80000000000001</v>
      </c>
      <c r="Y68">
        <v>168.4</v>
      </c>
      <c r="Z68">
        <v>172.5</v>
      </c>
      <c r="AA68">
        <v>181.5</v>
      </c>
      <c r="AB68">
        <v>170</v>
      </c>
      <c r="AC68" s="34">
        <v>-4.5454545454545414E-2</v>
      </c>
    </row>
    <row r="69" spans="1:29" x14ac:dyDescent="0.3">
      <c r="A69" s="47">
        <v>2023</v>
      </c>
      <c r="B69" s="47" t="s">
        <v>35</v>
      </c>
      <c r="C69" s="47">
        <v>174.8</v>
      </c>
      <c r="D69" s="47">
        <v>213.7</v>
      </c>
      <c r="E69" s="47">
        <v>172.4</v>
      </c>
      <c r="F69" s="47">
        <v>178.8</v>
      </c>
      <c r="G69" s="47">
        <v>168.7</v>
      </c>
      <c r="H69" s="47">
        <v>179.2</v>
      </c>
      <c r="I69" s="47">
        <v>179.9</v>
      </c>
      <c r="J69" s="47">
        <v>174.7</v>
      </c>
      <c r="K69" s="47">
        <v>123.1</v>
      </c>
      <c r="L69" s="47">
        <v>207.8</v>
      </c>
      <c r="M69" s="47">
        <v>165.5</v>
      </c>
      <c r="N69" s="47">
        <v>197</v>
      </c>
      <c r="O69" s="47">
        <v>182.1</v>
      </c>
      <c r="P69" s="47">
        <v>203.5</v>
      </c>
      <c r="Q69" s="47">
        <v>181</v>
      </c>
      <c r="R69" s="47">
        <v>167.7</v>
      </c>
      <c r="S69" s="47">
        <v>178.9</v>
      </c>
      <c r="T69" s="47">
        <v>175.2</v>
      </c>
      <c r="U69" s="47">
        <v>182.1</v>
      </c>
      <c r="V69" s="47">
        <v>169.6</v>
      </c>
      <c r="W69" s="47">
        <v>181.5</v>
      </c>
      <c r="X69" s="47">
        <v>160.1</v>
      </c>
      <c r="Y69" s="47">
        <v>168.8</v>
      </c>
      <c r="Z69" s="47">
        <v>174.2</v>
      </c>
      <c r="AA69" s="47">
        <v>184.4</v>
      </c>
      <c r="AB69" s="47">
        <v>170.9</v>
      </c>
      <c r="AC69" s="48">
        <v>6.6462948815889877E-2</v>
      </c>
    </row>
    <row r="70" spans="1:29" x14ac:dyDescent="0.3">
      <c r="A70">
        <v>2023</v>
      </c>
      <c r="B70" t="s">
        <v>36</v>
      </c>
      <c r="C70">
        <v>174.7</v>
      </c>
      <c r="D70">
        <v>219.4</v>
      </c>
      <c r="E70">
        <v>176.7</v>
      </c>
      <c r="F70">
        <v>179.4</v>
      </c>
      <c r="G70">
        <v>164.4</v>
      </c>
      <c r="H70">
        <v>175.8</v>
      </c>
      <c r="I70">
        <v>185</v>
      </c>
      <c r="J70">
        <v>176.9</v>
      </c>
      <c r="K70">
        <v>124.2</v>
      </c>
      <c r="L70">
        <v>211.9</v>
      </c>
      <c r="M70">
        <v>165.9</v>
      </c>
      <c r="N70">
        <v>197.7</v>
      </c>
      <c r="O70">
        <v>183.1</v>
      </c>
      <c r="P70">
        <v>204.2</v>
      </c>
      <c r="Q70">
        <v>181.3</v>
      </c>
      <c r="R70">
        <v>168.1</v>
      </c>
      <c r="S70">
        <v>179.3</v>
      </c>
      <c r="T70">
        <v>175.6</v>
      </c>
      <c r="U70">
        <v>183.4</v>
      </c>
      <c r="V70">
        <v>170.1</v>
      </c>
      <c r="W70">
        <v>182.2</v>
      </c>
      <c r="X70">
        <v>160.4</v>
      </c>
      <c r="Y70">
        <v>169.2</v>
      </c>
      <c r="Z70">
        <v>174.8</v>
      </c>
      <c r="AA70">
        <v>185.6</v>
      </c>
      <c r="AB70">
        <v>171.6</v>
      </c>
      <c r="AC70" s="34">
        <v>-0.1048233046800382</v>
      </c>
    </row>
    <row r="71" spans="1:29" x14ac:dyDescent="0.3">
      <c r="K71" s="44"/>
      <c r="L71" s="34"/>
    </row>
    <row r="72" spans="1:29" x14ac:dyDescent="0.3">
      <c r="K72" s="44"/>
      <c r="L72" s="34"/>
    </row>
    <row r="73" spans="1:29" x14ac:dyDescent="0.3">
      <c r="A73" s="177" t="s">
        <v>127</v>
      </c>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row>
    <row r="74" spans="1:29" x14ac:dyDescent="0.3">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c r="AA74" s="177"/>
      <c r="AB74" s="177"/>
      <c r="AC74" s="177"/>
    </row>
    <row r="75" spans="1:29" x14ac:dyDescent="0.3">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c r="AA75" s="177"/>
      <c r="AB75" s="177"/>
      <c r="AC75" s="177"/>
    </row>
    <row r="76" spans="1:29" x14ac:dyDescent="0.3">
      <c r="A76" s="49" t="s">
        <v>123</v>
      </c>
      <c r="B76" s="49"/>
      <c r="C76" s="45">
        <f t="shared" ref="C76:S76" si="4">CORREL(C78:C106,$AC$6:$AC$34)</f>
        <v>-0.40868447981137795</v>
      </c>
      <c r="D76" s="45">
        <f t="shared" si="4"/>
        <v>-0.38707538635528538</v>
      </c>
      <c r="E76" s="45">
        <f t="shared" si="4"/>
        <v>-0.10130349875017063</v>
      </c>
      <c r="F76" s="45">
        <f t="shared" si="4"/>
        <v>-0.4395739904207438</v>
      </c>
      <c r="G76" s="45">
        <f t="shared" si="4"/>
        <v>-0.27994813733314672</v>
      </c>
      <c r="H76" s="45">
        <f t="shared" si="4"/>
        <v>-0.4672958945484868</v>
      </c>
      <c r="I76" s="45">
        <f t="shared" si="4"/>
        <v>-3.5135476975100798E-2</v>
      </c>
      <c r="J76" s="45">
        <f t="shared" si="4"/>
        <v>-0.44748641268072764</v>
      </c>
      <c r="K76" s="45">
        <f t="shared" si="4"/>
        <v>-0.38541101128588268</v>
      </c>
      <c r="L76" s="45">
        <f t="shared" si="4"/>
        <v>-0.44269266428590892</v>
      </c>
      <c r="M76" s="45">
        <f t="shared" si="4"/>
        <v>-0.48382064799480357</v>
      </c>
      <c r="N76" s="45">
        <f t="shared" si="4"/>
        <v>-0.46045480143034079</v>
      </c>
      <c r="O76" s="45">
        <f t="shared" si="4"/>
        <v>-0.46363763639808503</v>
      </c>
      <c r="P76" s="45">
        <f t="shared" si="4"/>
        <v>-0.44185805254520616</v>
      </c>
      <c r="Q76" s="45">
        <f t="shared" si="4"/>
        <v>-0.45167379784453893</v>
      </c>
      <c r="R76" s="45">
        <f t="shared" si="4"/>
        <v>-0.44827878454111375</v>
      </c>
      <c r="S76" s="45">
        <f t="shared" si="4"/>
        <v>-0.4511367137903538</v>
      </c>
      <c r="T76" s="45">
        <f>CORREL(T78:T106,AC78:AC106)</f>
        <v>-0.44251768823892246</v>
      </c>
      <c r="U76" s="45">
        <f t="shared" ref="U76:AB76" si="5">CORREL(U78:U106,$AC$6:$AC$34)</f>
        <v>-0.51921802720299348</v>
      </c>
      <c r="V76" s="45">
        <f t="shared" si="5"/>
        <v>-0.45007811777745665</v>
      </c>
      <c r="W76" s="45">
        <f t="shared" si="5"/>
        <v>-0.43969526299832684</v>
      </c>
      <c r="X76" s="45">
        <f t="shared" si="5"/>
        <v>-0.46536799571056953</v>
      </c>
      <c r="Y76" s="45">
        <f t="shared" si="5"/>
        <v>-0.45464655582812519</v>
      </c>
      <c r="Z76" s="45">
        <f t="shared" si="5"/>
        <v>-0.48780620792708596</v>
      </c>
      <c r="AA76" s="45">
        <f t="shared" si="5"/>
        <v>-0.39935791382069324</v>
      </c>
      <c r="AB76" s="45">
        <f t="shared" si="5"/>
        <v>-0.45601104620793648</v>
      </c>
      <c r="AC76" s="45"/>
    </row>
    <row r="77" spans="1:29" x14ac:dyDescent="0.3">
      <c r="A77" s="46" t="s">
        <v>1</v>
      </c>
      <c r="B77" s="46" t="s">
        <v>2</v>
      </c>
      <c r="C77" s="47" t="s">
        <v>3</v>
      </c>
      <c r="D77" s="47" t="s">
        <v>4</v>
      </c>
      <c r="E77" s="47" t="s">
        <v>5</v>
      </c>
      <c r="F77" s="47" t="s">
        <v>6</v>
      </c>
      <c r="G77" s="47" t="s">
        <v>7</v>
      </c>
      <c r="H77" s="47" t="s">
        <v>8</v>
      </c>
      <c r="I77" s="47" t="s">
        <v>9</v>
      </c>
      <c r="J77" s="47" t="s">
        <v>10</v>
      </c>
      <c r="K77" s="47" t="s">
        <v>11</v>
      </c>
      <c r="L77" s="47" t="s">
        <v>12</v>
      </c>
      <c r="M77" s="47" t="s">
        <v>13</v>
      </c>
      <c r="N77" s="47" t="s">
        <v>57</v>
      </c>
      <c r="O77" s="47" t="s">
        <v>14</v>
      </c>
      <c r="P77" s="47" t="s">
        <v>15</v>
      </c>
      <c r="Q77" s="47" t="s">
        <v>16</v>
      </c>
      <c r="R77" s="47" t="s">
        <v>17</v>
      </c>
      <c r="S77" s="47" t="s">
        <v>18</v>
      </c>
      <c r="T77" s="47" t="s">
        <v>19</v>
      </c>
      <c r="U77" s="47" t="s">
        <v>20</v>
      </c>
      <c r="V77" s="47" t="s">
        <v>21</v>
      </c>
      <c r="W77" s="47" t="s">
        <v>22</v>
      </c>
      <c r="X77" s="47" t="s">
        <v>23</v>
      </c>
      <c r="Y77" s="47" t="s">
        <v>24</v>
      </c>
      <c r="Z77" s="47" t="s">
        <v>25</v>
      </c>
      <c r="AA77" s="47" t="s">
        <v>56</v>
      </c>
      <c r="AB77" s="47" t="s">
        <v>26</v>
      </c>
      <c r="AC77" s="47" t="s">
        <v>124</v>
      </c>
    </row>
    <row r="78" spans="1:29" x14ac:dyDescent="0.3">
      <c r="A78">
        <v>2021</v>
      </c>
      <c r="B78" t="s">
        <v>29</v>
      </c>
      <c r="C78">
        <v>144.9</v>
      </c>
      <c r="D78">
        <v>190.1</v>
      </c>
      <c r="E78">
        <v>175.3</v>
      </c>
      <c r="F78">
        <v>154.1</v>
      </c>
      <c r="G78">
        <v>150.9</v>
      </c>
      <c r="H78">
        <v>149.6</v>
      </c>
      <c r="I78">
        <v>194.2</v>
      </c>
      <c r="J78">
        <v>160.4</v>
      </c>
      <c r="K78">
        <v>114.6</v>
      </c>
      <c r="L78">
        <v>164</v>
      </c>
      <c r="M78">
        <v>151.80000000000001</v>
      </c>
      <c r="N78">
        <v>165.6</v>
      </c>
      <c r="O78">
        <v>161</v>
      </c>
      <c r="P78">
        <v>186.5</v>
      </c>
      <c r="Q78">
        <v>155.5</v>
      </c>
      <c r="R78">
        <v>146.1</v>
      </c>
      <c r="S78">
        <v>154.19999999999999</v>
      </c>
      <c r="T78">
        <v>157.69999999999999</v>
      </c>
      <c r="U78">
        <v>147.9</v>
      </c>
      <c r="V78">
        <v>150</v>
      </c>
      <c r="W78">
        <v>159.30000000000001</v>
      </c>
      <c r="X78">
        <v>141.9</v>
      </c>
      <c r="Y78">
        <v>149.6</v>
      </c>
      <c r="Z78">
        <v>159.19999999999999</v>
      </c>
      <c r="AA78">
        <v>156.80000000000001</v>
      </c>
      <c r="AB78">
        <v>151.9</v>
      </c>
      <c r="AC78" s="34">
        <v>0.18439256376999599</v>
      </c>
    </row>
    <row r="79" spans="1:29" x14ac:dyDescent="0.3">
      <c r="A79" s="47">
        <v>2021</v>
      </c>
      <c r="B79" s="47" t="s">
        <v>33</v>
      </c>
      <c r="C79" s="47">
        <v>144.30000000000001</v>
      </c>
      <c r="D79" s="47">
        <v>186.5</v>
      </c>
      <c r="E79" s="47">
        <v>168.7</v>
      </c>
      <c r="F79" s="47">
        <v>154.69999999999999</v>
      </c>
      <c r="G79" s="47">
        <v>158.69999999999999</v>
      </c>
      <c r="H79" s="47">
        <v>150.69999999999999</v>
      </c>
      <c r="I79" s="47">
        <v>160</v>
      </c>
      <c r="J79" s="47">
        <v>158.80000000000001</v>
      </c>
      <c r="K79" s="47">
        <v>112.8</v>
      </c>
      <c r="L79" s="47">
        <v>164.2</v>
      </c>
      <c r="M79" s="47">
        <v>155.5</v>
      </c>
      <c r="N79" s="47">
        <v>167.5</v>
      </c>
      <c r="O79" s="47">
        <v>156.9</v>
      </c>
      <c r="P79" s="47">
        <v>188.3</v>
      </c>
      <c r="Q79" s="47">
        <v>157.19999999999999</v>
      </c>
      <c r="R79" s="47">
        <v>147.4</v>
      </c>
      <c r="S79" s="47">
        <v>155.80000000000001</v>
      </c>
      <c r="T79" s="47">
        <v>159.80000000000001</v>
      </c>
      <c r="U79" s="47">
        <v>152.4</v>
      </c>
      <c r="V79" s="47">
        <v>150.9</v>
      </c>
      <c r="W79" s="47">
        <v>161.30000000000001</v>
      </c>
      <c r="X79" s="47">
        <v>145.1</v>
      </c>
      <c r="Y79" s="47">
        <v>151.5</v>
      </c>
      <c r="Z79" s="47">
        <v>159.5</v>
      </c>
      <c r="AA79" s="47">
        <v>155.80000000000001</v>
      </c>
      <c r="AB79" s="47">
        <v>153.4</v>
      </c>
      <c r="AC79" s="48">
        <v>0.11735718196751233</v>
      </c>
    </row>
    <row r="80" spans="1:29" x14ac:dyDescent="0.3">
      <c r="A80">
        <v>2021</v>
      </c>
      <c r="B80" t="s">
        <v>34</v>
      </c>
      <c r="C80">
        <v>144.1</v>
      </c>
      <c r="D80">
        <v>192.2</v>
      </c>
      <c r="E80">
        <v>163.80000000000001</v>
      </c>
      <c r="F80">
        <v>154.9</v>
      </c>
      <c r="G80">
        <v>163.9</v>
      </c>
      <c r="H80">
        <v>153.69999999999999</v>
      </c>
      <c r="I80">
        <v>149.5</v>
      </c>
      <c r="J80">
        <v>159.80000000000001</v>
      </c>
      <c r="K80">
        <v>112.6</v>
      </c>
      <c r="L80">
        <v>163.5</v>
      </c>
      <c r="M80">
        <v>156.5</v>
      </c>
      <c r="N80">
        <v>168.2</v>
      </c>
      <c r="O80">
        <v>156.69999999999999</v>
      </c>
      <c r="P80">
        <v>188.1</v>
      </c>
      <c r="Q80">
        <v>157.80000000000001</v>
      </c>
      <c r="R80">
        <v>147.9</v>
      </c>
      <c r="S80">
        <v>156.4</v>
      </c>
      <c r="T80">
        <v>159.9</v>
      </c>
      <c r="U80">
        <v>155.5</v>
      </c>
      <c r="V80">
        <v>151.19999999999999</v>
      </c>
      <c r="W80">
        <v>161.69999999999999</v>
      </c>
      <c r="X80">
        <v>146.19999999999999</v>
      </c>
      <c r="Y80">
        <v>152.6</v>
      </c>
      <c r="Z80">
        <v>160.19999999999999</v>
      </c>
      <c r="AA80">
        <v>153.80000000000001</v>
      </c>
      <c r="AB80">
        <v>153.80000000000001</v>
      </c>
      <c r="AC80" s="34">
        <v>5.5210715452466363E-2</v>
      </c>
    </row>
    <row r="81" spans="1:29" x14ac:dyDescent="0.3">
      <c r="A81" s="47">
        <v>2021</v>
      </c>
      <c r="B81" s="47" t="s">
        <v>35</v>
      </c>
      <c r="C81" s="47">
        <v>144.30000000000001</v>
      </c>
      <c r="D81" s="47">
        <v>198</v>
      </c>
      <c r="E81" s="47">
        <v>164.6</v>
      </c>
      <c r="F81" s="47">
        <v>155.4</v>
      </c>
      <c r="G81" s="47">
        <v>170.1</v>
      </c>
      <c r="H81" s="47">
        <v>164.4</v>
      </c>
      <c r="I81" s="47">
        <v>144.1</v>
      </c>
      <c r="J81" s="47">
        <v>161.69999999999999</v>
      </c>
      <c r="K81" s="47">
        <v>113.1</v>
      </c>
      <c r="L81" s="47">
        <v>163.9</v>
      </c>
      <c r="M81" s="47">
        <v>157.6</v>
      </c>
      <c r="N81" s="47">
        <v>168.9</v>
      </c>
      <c r="O81" s="47">
        <v>158</v>
      </c>
      <c r="P81" s="47">
        <v>188.8</v>
      </c>
      <c r="Q81" s="47">
        <v>158.80000000000001</v>
      </c>
      <c r="R81" s="47">
        <v>148.5</v>
      </c>
      <c r="S81" s="47">
        <v>157.30000000000001</v>
      </c>
      <c r="T81" s="47">
        <v>161.4</v>
      </c>
      <c r="U81" s="47">
        <v>155.6</v>
      </c>
      <c r="V81" s="47">
        <v>151.80000000000001</v>
      </c>
      <c r="W81" s="47">
        <v>162.30000000000001</v>
      </c>
      <c r="X81" s="47">
        <v>146.6</v>
      </c>
      <c r="Y81" s="47">
        <v>153.19999999999999</v>
      </c>
      <c r="Z81" s="47">
        <v>160.30000000000001</v>
      </c>
      <c r="AA81" s="47">
        <v>155.4</v>
      </c>
      <c r="AB81" s="47">
        <v>154.4</v>
      </c>
      <c r="AC81" s="48">
        <v>-1.8575851393188736E-2</v>
      </c>
    </row>
    <row r="82" spans="1:29" x14ac:dyDescent="0.3">
      <c r="A82">
        <v>2021</v>
      </c>
      <c r="B82" t="s">
        <v>36</v>
      </c>
      <c r="C82">
        <v>146.30000000000001</v>
      </c>
      <c r="D82">
        <v>200.5</v>
      </c>
      <c r="E82">
        <v>170.3</v>
      </c>
      <c r="F82">
        <v>156.1</v>
      </c>
      <c r="G82">
        <v>178.7</v>
      </c>
      <c r="H82">
        <v>167.1</v>
      </c>
      <c r="I82">
        <v>147.9</v>
      </c>
      <c r="J82">
        <v>165.4</v>
      </c>
      <c r="K82">
        <v>114.8</v>
      </c>
      <c r="L82">
        <v>168.2</v>
      </c>
      <c r="M82">
        <v>159.30000000000001</v>
      </c>
      <c r="N82">
        <v>170.4</v>
      </c>
      <c r="O82">
        <v>160.69999999999999</v>
      </c>
      <c r="P82">
        <v>191.9</v>
      </c>
      <c r="Q82">
        <v>161.80000000000001</v>
      </c>
      <c r="R82">
        <v>152.1</v>
      </c>
      <c r="S82">
        <v>160.4</v>
      </c>
      <c r="T82">
        <v>161.6</v>
      </c>
      <c r="U82">
        <v>159.4</v>
      </c>
      <c r="V82">
        <v>154.69999999999999</v>
      </c>
      <c r="W82">
        <v>165.8</v>
      </c>
      <c r="X82">
        <v>148.9</v>
      </c>
      <c r="Y82">
        <v>155.80000000000001</v>
      </c>
      <c r="Z82">
        <v>161.19999999999999</v>
      </c>
      <c r="AA82">
        <v>158.6</v>
      </c>
      <c r="AB82">
        <v>156.80000000000001</v>
      </c>
      <c r="AC82" s="34">
        <v>5.5993690851735112E-2</v>
      </c>
    </row>
    <row r="83" spans="1:29" x14ac:dyDescent="0.3">
      <c r="A83" s="47">
        <v>2021</v>
      </c>
      <c r="B83" s="47" t="s">
        <v>37</v>
      </c>
      <c r="C83" s="47">
        <v>146.69999999999999</v>
      </c>
      <c r="D83" s="47">
        <v>202</v>
      </c>
      <c r="E83" s="47">
        <v>180.7</v>
      </c>
      <c r="F83" s="47">
        <v>156.19999999999999</v>
      </c>
      <c r="G83" s="47">
        <v>183.7</v>
      </c>
      <c r="H83" s="47">
        <v>164.6</v>
      </c>
      <c r="I83" s="47">
        <v>155.4</v>
      </c>
      <c r="J83" s="47">
        <v>166</v>
      </c>
      <c r="K83" s="47">
        <v>115.1</v>
      </c>
      <c r="L83" s="47">
        <v>168.5</v>
      </c>
      <c r="M83" s="47">
        <v>160</v>
      </c>
      <c r="N83" s="47">
        <v>172.4</v>
      </c>
      <c r="O83" s="47">
        <v>162.6</v>
      </c>
      <c r="P83" s="47">
        <v>190.8</v>
      </c>
      <c r="Q83" s="47">
        <v>162.19999999999999</v>
      </c>
      <c r="R83" s="47">
        <v>151.80000000000001</v>
      </c>
      <c r="S83" s="47">
        <v>160.69999999999999</v>
      </c>
      <c r="T83" s="47">
        <v>160.5</v>
      </c>
      <c r="U83" s="47">
        <v>159.80000000000001</v>
      </c>
      <c r="V83" s="47">
        <v>154.80000000000001</v>
      </c>
      <c r="W83" s="47">
        <v>166.3</v>
      </c>
      <c r="X83" s="47">
        <v>150.69999999999999</v>
      </c>
      <c r="Y83" s="47">
        <v>154.9</v>
      </c>
      <c r="Z83" s="47">
        <v>161.69999999999999</v>
      </c>
      <c r="AA83" s="47">
        <v>158.80000000000001</v>
      </c>
      <c r="AB83" s="47">
        <v>157.6</v>
      </c>
      <c r="AC83" s="48">
        <v>7.4831964152352271E-2</v>
      </c>
    </row>
    <row r="84" spans="1:29" x14ac:dyDescent="0.3">
      <c r="A84">
        <v>2021</v>
      </c>
      <c r="B84" t="s">
        <v>38</v>
      </c>
      <c r="C84">
        <v>146.4</v>
      </c>
      <c r="D84">
        <v>206.8</v>
      </c>
      <c r="E84">
        <v>182.2</v>
      </c>
      <c r="F84">
        <v>157.5</v>
      </c>
      <c r="G84">
        <v>182.1</v>
      </c>
      <c r="H84">
        <v>163.9</v>
      </c>
      <c r="I84">
        <v>164.2</v>
      </c>
      <c r="J84">
        <v>164</v>
      </c>
      <c r="K84">
        <v>114.5</v>
      </c>
      <c r="L84">
        <v>168.3</v>
      </c>
      <c r="M84">
        <v>160.9</v>
      </c>
      <c r="N84">
        <v>172.2</v>
      </c>
      <c r="O84">
        <v>164</v>
      </c>
      <c r="P84">
        <v>191.2</v>
      </c>
      <c r="Q84">
        <v>162.80000000000001</v>
      </c>
      <c r="R84">
        <v>153.1</v>
      </c>
      <c r="S84">
        <v>161.4</v>
      </c>
      <c r="T84">
        <v>161.5</v>
      </c>
      <c r="U84">
        <v>160.69999999999999</v>
      </c>
      <c r="V84">
        <v>155.80000000000001</v>
      </c>
      <c r="W84">
        <v>167</v>
      </c>
      <c r="X84">
        <v>153.1</v>
      </c>
      <c r="Y84">
        <v>155.30000000000001</v>
      </c>
      <c r="Z84">
        <v>163.19999999999999</v>
      </c>
      <c r="AA84">
        <v>160.1</v>
      </c>
      <c r="AB84">
        <v>159</v>
      </c>
      <c r="AC84" s="34">
        <v>2.1956642579210817E-2</v>
      </c>
    </row>
    <row r="85" spans="1:29" x14ac:dyDescent="0.3">
      <c r="A85" s="47">
        <v>2021</v>
      </c>
      <c r="B85" s="47" t="s">
        <v>39</v>
      </c>
      <c r="C85" s="47">
        <v>146.6</v>
      </c>
      <c r="D85" s="47">
        <v>204</v>
      </c>
      <c r="E85" s="47">
        <v>172.8</v>
      </c>
      <c r="F85" s="47">
        <v>158.4</v>
      </c>
      <c r="G85" s="47">
        <v>188</v>
      </c>
      <c r="H85" s="47">
        <v>156.80000000000001</v>
      </c>
      <c r="I85" s="47">
        <v>162.19999999999999</v>
      </c>
      <c r="J85" s="47">
        <v>164.1</v>
      </c>
      <c r="K85" s="47">
        <v>119.7</v>
      </c>
      <c r="L85" s="47">
        <v>168.8</v>
      </c>
      <c r="M85" s="47">
        <v>162.69999999999999</v>
      </c>
      <c r="N85" s="47">
        <v>173.9</v>
      </c>
      <c r="O85" s="47">
        <v>164</v>
      </c>
      <c r="P85" s="47">
        <v>192.1</v>
      </c>
      <c r="Q85" s="47">
        <v>164.5</v>
      </c>
      <c r="R85" s="47">
        <v>155.30000000000001</v>
      </c>
      <c r="S85" s="47">
        <v>163.19999999999999</v>
      </c>
      <c r="T85" s="47">
        <v>162.1</v>
      </c>
      <c r="U85" s="47">
        <v>162.6</v>
      </c>
      <c r="V85" s="47">
        <v>157.5</v>
      </c>
      <c r="W85" s="47">
        <v>168.4</v>
      </c>
      <c r="X85" s="47">
        <v>154</v>
      </c>
      <c r="Y85" s="47">
        <v>157.6</v>
      </c>
      <c r="Z85" s="47">
        <v>163.80000000000001</v>
      </c>
      <c r="AA85" s="47">
        <v>160</v>
      </c>
      <c r="AB85" s="47">
        <v>160</v>
      </c>
      <c r="AC85" s="48">
        <v>-5.4392167527876012E-2</v>
      </c>
    </row>
    <row r="86" spans="1:29" x14ac:dyDescent="0.3">
      <c r="A86">
        <v>2021</v>
      </c>
      <c r="B86" t="s">
        <v>40</v>
      </c>
      <c r="C86">
        <v>146.6</v>
      </c>
      <c r="D86">
        <v>204</v>
      </c>
      <c r="E86">
        <v>172.8</v>
      </c>
      <c r="F86">
        <v>158.4</v>
      </c>
      <c r="G86">
        <v>188</v>
      </c>
      <c r="H86">
        <v>156.69999999999999</v>
      </c>
      <c r="I86">
        <v>162.30000000000001</v>
      </c>
      <c r="J86">
        <v>164.1</v>
      </c>
      <c r="K86">
        <v>119.7</v>
      </c>
      <c r="L86">
        <v>168.8</v>
      </c>
      <c r="M86">
        <v>162.69999999999999</v>
      </c>
      <c r="N86">
        <v>173.9</v>
      </c>
      <c r="O86">
        <v>164</v>
      </c>
      <c r="P86">
        <v>192.1</v>
      </c>
      <c r="Q86">
        <v>164.6</v>
      </c>
      <c r="R86">
        <v>155.30000000000001</v>
      </c>
      <c r="S86">
        <v>163.30000000000001</v>
      </c>
      <c r="T86">
        <v>162.1</v>
      </c>
      <c r="U86">
        <v>162.6</v>
      </c>
      <c r="V86">
        <v>157.5</v>
      </c>
      <c r="W86">
        <v>168.4</v>
      </c>
      <c r="X86">
        <v>154</v>
      </c>
      <c r="Y86">
        <v>157.69999999999999</v>
      </c>
      <c r="Z86">
        <v>163.69999999999999</v>
      </c>
      <c r="AA86">
        <v>160</v>
      </c>
      <c r="AB86">
        <v>160</v>
      </c>
      <c r="AC86" s="34">
        <v>5.1624964049467703E-2</v>
      </c>
    </row>
    <row r="87" spans="1:29" x14ac:dyDescent="0.3">
      <c r="A87" s="47">
        <v>2021</v>
      </c>
      <c r="B87" s="47" t="s">
        <v>41</v>
      </c>
      <c r="C87" s="47">
        <v>147.4</v>
      </c>
      <c r="D87" s="47">
        <v>204.6</v>
      </c>
      <c r="E87" s="47">
        <v>171.2</v>
      </c>
      <c r="F87" s="47">
        <v>158.69999999999999</v>
      </c>
      <c r="G87" s="47">
        <v>190.6</v>
      </c>
      <c r="H87" s="47">
        <v>155.69999999999999</v>
      </c>
      <c r="I87" s="47">
        <v>185.3</v>
      </c>
      <c r="J87" s="47">
        <v>165.2</v>
      </c>
      <c r="K87" s="47">
        <v>121.9</v>
      </c>
      <c r="L87" s="47">
        <v>169.3</v>
      </c>
      <c r="M87" s="47">
        <v>163.19999999999999</v>
      </c>
      <c r="N87" s="47">
        <v>174.7</v>
      </c>
      <c r="O87" s="47">
        <v>167.7</v>
      </c>
      <c r="P87" s="47">
        <v>192.7</v>
      </c>
      <c r="Q87" s="47">
        <v>165.7</v>
      </c>
      <c r="R87" s="47">
        <v>156.30000000000001</v>
      </c>
      <c r="S87" s="47">
        <v>164.3</v>
      </c>
      <c r="T87" s="47">
        <v>163.6</v>
      </c>
      <c r="U87" s="47">
        <v>164.2</v>
      </c>
      <c r="V87" s="47">
        <v>158.4</v>
      </c>
      <c r="W87" s="47">
        <v>169.1</v>
      </c>
      <c r="X87" s="47">
        <v>155.69999999999999</v>
      </c>
      <c r="Y87" s="47">
        <v>158.6</v>
      </c>
      <c r="Z87" s="47">
        <v>163.9</v>
      </c>
      <c r="AA87" s="47">
        <v>160.80000000000001</v>
      </c>
      <c r="AB87" s="47">
        <v>161</v>
      </c>
      <c r="AC87" s="48">
        <v>0.12279502256255981</v>
      </c>
    </row>
    <row r="88" spans="1:29" x14ac:dyDescent="0.3">
      <c r="A88">
        <v>2021</v>
      </c>
      <c r="B88" t="s">
        <v>43</v>
      </c>
      <c r="C88">
        <v>148.19999999999999</v>
      </c>
      <c r="D88">
        <v>201.6</v>
      </c>
      <c r="E88">
        <v>173</v>
      </c>
      <c r="F88">
        <v>159.30000000000001</v>
      </c>
      <c r="G88">
        <v>190.1</v>
      </c>
      <c r="H88">
        <v>156.5</v>
      </c>
      <c r="I88">
        <v>199.2</v>
      </c>
      <c r="J88">
        <v>165.3</v>
      </c>
      <c r="K88">
        <v>122.4</v>
      </c>
      <c r="L88">
        <v>169.6</v>
      </c>
      <c r="M88">
        <v>163.69999999999999</v>
      </c>
      <c r="N88">
        <v>175.5</v>
      </c>
      <c r="O88">
        <v>169.7</v>
      </c>
      <c r="P88">
        <v>192.9</v>
      </c>
      <c r="Q88">
        <v>167.2</v>
      </c>
      <c r="R88">
        <v>157.4</v>
      </c>
      <c r="S88">
        <v>165.8</v>
      </c>
      <c r="T88">
        <v>164.2</v>
      </c>
      <c r="U88">
        <v>163.9</v>
      </c>
      <c r="V88">
        <v>159.30000000000001</v>
      </c>
      <c r="W88">
        <v>169.9</v>
      </c>
      <c r="X88">
        <v>154.80000000000001</v>
      </c>
      <c r="Y88">
        <v>159.80000000000001</v>
      </c>
      <c r="Z88">
        <v>164.3</v>
      </c>
      <c r="AA88">
        <v>162.19999999999999</v>
      </c>
      <c r="AB88">
        <v>161.4</v>
      </c>
      <c r="AC88" s="34">
        <v>-1.7902813299232712E-2</v>
      </c>
    </row>
    <row r="89" spans="1:29" x14ac:dyDescent="0.3">
      <c r="A89" s="47">
        <v>2021</v>
      </c>
      <c r="B89" s="47" t="s">
        <v>44</v>
      </c>
      <c r="C89" s="47">
        <v>148.69999999999999</v>
      </c>
      <c r="D89" s="47">
        <v>198.8</v>
      </c>
      <c r="E89" s="47">
        <v>177.9</v>
      </c>
      <c r="F89" s="47">
        <v>159.9</v>
      </c>
      <c r="G89" s="47">
        <v>187.6</v>
      </c>
      <c r="H89" s="47">
        <v>154.9</v>
      </c>
      <c r="I89" s="47">
        <v>188.3</v>
      </c>
      <c r="J89" s="47">
        <v>164.4</v>
      </c>
      <c r="K89" s="47">
        <v>121</v>
      </c>
      <c r="L89" s="47">
        <v>170.5</v>
      </c>
      <c r="M89" s="47">
        <v>164.2</v>
      </c>
      <c r="N89" s="47">
        <v>176.5</v>
      </c>
      <c r="O89" s="47">
        <v>168.2</v>
      </c>
      <c r="P89" s="47">
        <v>192.4</v>
      </c>
      <c r="Q89" s="47">
        <v>168.5</v>
      </c>
      <c r="R89" s="47">
        <v>158.69999999999999</v>
      </c>
      <c r="S89" s="47">
        <v>167</v>
      </c>
      <c r="T89" s="47">
        <v>163.4</v>
      </c>
      <c r="U89" s="47">
        <v>164.1</v>
      </c>
      <c r="V89" s="47">
        <v>160.19999999999999</v>
      </c>
      <c r="W89" s="47">
        <v>170.6</v>
      </c>
      <c r="X89" s="47">
        <v>155.69999999999999</v>
      </c>
      <c r="Y89" s="47">
        <v>160.6</v>
      </c>
      <c r="Z89" s="47">
        <v>164.4</v>
      </c>
      <c r="AA89" s="47">
        <v>162.6</v>
      </c>
      <c r="AB89" s="47">
        <v>162</v>
      </c>
      <c r="AC89" s="48">
        <v>-9.1021825396825462E-2</v>
      </c>
    </row>
    <row r="90" spans="1:29" x14ac:dyDescent="0.3">
      <c r="A90">
        <v>2022</v>
      </c>
      <c r="B90" t="s">
        <v>29</v>
      </c>
      <c r="C90">
        <v>149.5</v>
      </c>
      <c r="D90">
        <v>198.7</v>
      </c>
      <c r="E90">
        <v>178.8</v>
      </c>
      <c r="F90">
        <v>160.5</v>
      </c>
      <c r="G90">
        <v>184.7</v>
      </c>
      <c r="H90">
        <v>153.69999999999999</v>
      </c>
      <c r="I90">
        <v>174.3</v>
      </c>
      <c r="J90">
        <v>163.9</v>
      </c>
      <c r="K90">
        <v>120</v>
      </c>
      <c r="L90">
        <v>172.1</v>
      </c>
      <c r="M90">
        <v>164.3</v>
      </c>
      <c r="N90">
        <v>177.3</v>
      </c>
      <c r="O90">
        <v>166.4</v>
      </c>
      <c r="P90">
        <v>192.2</v>
      </c>
      <c r="Q90">
        <v>169.9</v>
      </c>
      <c r="R90">
        <v>160.69999999999999</v>
      </c>
      <c r="S90">
        <v>168.5</v>
      </c>
      <c r="T90">
        <v>164.5</v>
      </c>
      <c r="U90">
        <v>164.2</v>
      </c>
      <c r="V90">
        <v>161.1</v>
      </c>
      <c r="W90">
        <v>171.4</v>
      </c>
      <c r="X90">
        <v>156.5</v>
      </c>
      <c r="Y90">
        <v>161.19999999999999</v>
      </c>
      <c r="Z90">
        <v>164.7</v>
      </c>
      <c r="AA90">
        <v>163</v>
      </c>
      <c r="AB90">
        <v>162.69999999999999</v>
      </c>
      <c r="AC90" s="34">
        <v>0.21637107776261932</v>
      </c>
    </row>
    <row r="91" spans="1:29" x14ac:dyDescent="0.3">
      <c r="A91" s="47">
        <v>2022</v>
      </c>
      <c r="B91" s="47" t="s">
        <v>33</v>
      </c>
      <c r="C91" s="47">
        <v>150</v>
      </c>
      <c r="D91" s="47">
        <v>200.6</v>
      </c>
      <c r="E91" s="47">
        <v>175.8</v>
      </c>
      <c r="F91" s="47">
        <v>160.69999999999999</v>
      </c>
      <c r="G91" s="47">
        <v>184.9</v>
      </c>
      <c r="H91" s="47">
        <v>153.69999999999999</v>
      </c>
      <c r="I91" s="47">
        <v>169.7</v>
      </c>
      <c r="J91" s="47">
        <v>163.69999999999999</v>
      </c>
      <c r="K91" s="47">
        <v>118.9</v>
      </c>
      <c r="L91" s="47">
        <v>174.3</v>
      </c>
      <c r="M91" s="47">
        <v>164.7</v>
      </c>
      <c r="N91" s="47">
        <v>178</v>
      </c>
      <c r="O91" s="47">
        <v>166.2</v>
      </c>
      <c r="P91" s="47">
        <v>192.8</v>
      </c>
      <c r="Q91" s="47">
        <v>170.8</v>
      </c>
      <c r="R91" s="47">
        <v>162.4</v>
      </c>
      <c r="S91" s="47">
        <v>169.6</v>
      </c>
      <c r="T91" s="47">
        <v>165.5</v>
      </c>
      <c r="U91" s="47">
        <v>165.7</v>
      </c>
      <c r="V91" s="47">
        <v>161.80000000000001</v>
      </c>
      <c r="W91" s="47">
        <v>172.2</v>
      </c>
      <c r="X91" s="47">
        <v>156.9</v>
      </c>
      <c r="Y91" s="47">
        <v>162.1</v>
      </c>
      <c r="Z91" s="47">
        <v>165.4</v>
      </c>
      <c r="AA91" s="47">
        <v>164.4</v>
      </c>
      <c r="AB91" s="47">
        <v>163.5</v>
      </c>
      <c r="AC91" s="48">
        <v>7.8174069089277598E-2</v>
      </c>
    </row>
    <row r="92" spans="1:29" x14ac:dyDescent="0.3">
      <c r="A92">
        <v>2022</v>
      </c>
      <c r="B92" t="s">
        <v>34</v>
      </c>
      <c r="C92">
        <v>151.30000000000001</v>
      </c>
      <c r="D92">
        <v>210.7</v>
      </c>
      <c r="E92">
        <v>167.8</v>
      </c>
      <c r="F92">
        <v>162.19999999999999</v>
      </c>
      <c r="G92">
        <v>194.6</v>
      </c>
      <c r="H92">
        <v>157.6</v>
      </c>
      <c r="I92">
        <v>166.9</v>
      </c>
      <c r="J92">
        <v>163.9</v>
      </c>
      <c r="K92">
        <v>118.8</v>
      </c>
      <c r="L92">
        <v>177.4</v>
      </c>
      <c r="M92">
        <v>165.3</v>
      </c>
      <c r="N92">
        <v>179.3</v>
      </c>
      <c r="O92">
        <v>168.4</v>
      </c>
      <c r="P92">
        <v>193.7</v>
      </c>
      <c r="Q92">
        <v>172.1</v>
      </c>
      <c r="R92">
        <v>164.6</v>
      </c>
      <c r="S92">
        <v>171.1</v>
      </c>
      <c r="T92">
        <v>165.3</v>
      </c>
      <c r="U92">
        <v>167.2</v>
      </c>
      <c r="V92">
        <v>162.80000000000001</v>
      </c>
      <c r="W92">
        <v>173</v>
      </c>
      <c r="X92">
        <v>157.9</v>
      </c>
      <c r="Y92">
        <v>163.30000000000001</v>
      </c>
      <c r="Z92">
        <v>166</v>
      </c>
      <c r="AA92">
        <v>167.2</v>
      </c>
      <c r="AB92">
        <v>164.6</v>
      </c>
      <c r="AC92" s="34">
        <v>0.17413918651825666</v>
      </c>
    </row>
    <row r="93" spans="1:29" x14ac:dyDescent="0.3">
      <c r="A93" s="47">
        <v>2022</v>
      </c>
      <c r="B93" s="47" t="s">
        <v>35</v>
      </c>
      <c r="C93" s="47">
        <v>152.9</v>
      </c>
      <c r="D93" s="47">
        <v>211.8</v>
      </c>
      <c r="E93" s="47">
        <v>164.5</v>
      </c>
      <c r="F93" s="47">
        <v>163.9</v>
      </c>
      <c r="G93" s="47">
        <v>199.5</v>
      </c>
      <c r="H93" s="47">
        <v>172.6</v>
      </c>
      <c r="I93" s="47">
        <v>166.2</v>
      </c>
      <c r="J93" s="47">
        <v>164.7</v>
      </c>
      <c r="K93" s="47">
        <v>119</v>
      </c>
      <c r="L93" s="47">
        <v>181.3</v>
      </c>
      <c r="M93" s="47">
        <v>166.2</v>
      </c>
      <c r="N93" s="47">
        <v>180.9</v>
      </c>
      <c r="O93" s="47">
        <v>170.8</v>
      </c>
      <c r="P93" s="47">
        <v>193.9</v>
      </c>
      <c r="Q93" s="47">
        <v>173.9</v>
      </c>
      <c r="R93" s="47">
        <v>166.5</v>
      </c>
      <c r="S93" s="47">
        <v>172.8</v>
      </c>
      <c r="T93" s="47">
        <v>167</v>
      </c>
      <c r="U93" s="47">
        <v>172.2</v>
      </c>
      <c r="V93" s="47">
        <v>164</v>
      </c>
      <c r="W93" s="47">
        <v>174</v>
      </c>
      <c r="X93" s="47">
        <v>162.6</v>
      </c>
      <c r="Y93" s="47">
        <v>164.4</v>
      </c>
      <c r="Z93" s="47">
        <v>166.9</v>
      </c>
      <c r="AA93" s="47">
        <v>168.8</v>
      </c>
      <c r="AB93" s="47">
        <v>166.8</v>
      </c>
      <c r="AC93" s="48">
        <v>-8.7711526534951734E-2</v>
      </c>
    </row>
    <row r="94" spans="1:29" x14ac:dyDescent="0.3">
      <c r="A94">
        <v>2022</v>
      </c>
      <c r="B94" t="s">
        <v>36</v>
      </c>
      <c r="C94">
        <v>154.1</v>
      </c>
      <c r="D94">
        <v>217</v>
      </c>
      <c r="E94">
        <v>162.4</v>
      </c>
      <c r="F94">
        <v>164.9</v>
      </c>
      <c r="G94">
        <v>202.4</v>
      </c>
      <c r="H94">
        <v>171</v>
      </c>
      <c r="I94">
        <v>174.9</v>
      </c>
      <c r="J94">
        <v>164.7</v>
      </c>
      <c r="K94">
        <v>119.7</v>
      </c>
      <c r="L94">
        <v>184.9</v>
      </c>
      <c r="M94">
        <v>167.1</v>
      </c>
      <c r="N94">
        <v>182.5</v>
      </c>
      <c r="O94">
        <v>173.3</v>
      </c>
      <c r="P94">
        <v>194.1</v>
      </c>
      <c r="Q94">
        <v>175.6</v>
      </c>
      <c r="R94">
        <v>168.4</v>
      </c>
      <c r="S94">
        <v>174.6</v>
      </c>
      <c r="T94">
        <v>167.5</v>
      </c>
      <c r="U94">
        <v>174.6</v>
      </c>
      <c r="V94">
        <v>165.2</v>
      </c>
      <c r="W94">
        <v>174.8</v>
      </c>
      <c r="X94">
        <v>163</v>
      </c>
      <c r="Y94">
        <v>165.1</v>
      </c>
      <c r="Z94">
        <v>167.9</v>
      </c>
      <c r="AA94">
        <v>168.4</v>
      </c>
      <c r="AB94">
        <v>167.5</v>
      </c>
      <c r="AC94" s="34">
        <v>6.3513644750898379E-2</v>
      </c>
    </row>
    <row r="95" spans="1:29" x14ac:dyDescent="0.3">
      <c r="A95" s="47">
        <v>2022</v>
      </c>
      <c r="B95" s="47" t="s">
        <v>37</v>
      </c>
      <c r="C95" s="47">
        <v>155</v>
      </c>
      <c r="D95" s="47">
        <v>219.4</v>
      </c>
      <c r="E95" s="47">
        <v>170.8</v>
      </c>
      <c r="F95" s="47">
        <v>165.8</v>
      </c>
      <c r="G95" s="47">
        <v>200.9</v>
      </c>
      <c r="H95" s="47">
        <v>169.7</v>
      </c>
      <c r="I95" s="47">
        <v>182.3</v>
      </c>
      <c r="J95" s="47">
        <v>164.3</v>
      </c>
      <c r="K95" s="47">
        <v>119.9</v>
      </c>
      <c r="L95" s="47">
        <v>187.1</v>
      </c>
      <c r="M95" s="47">
        <v>167.9</v>
      </c>
      <c r="N95" s="47">
        <v>183.9</v>
      </c>
      <c r="O95" s="47">
        <v>174.9</v>
      </c>
      <c r="P95" s="47">
        <v>194.3</v>
      </c>
      <c r="Q95" s="47">
        <v>177.1</v>
      </c>
      <c r="R95" s="47">
        <v>169.9</v>
      </c>
      <c r="S95" s="47">
        <v>176</v>
      </c>
      <c r="T95" s="47">
        <v>166.8</v>
      </c>
      <c r="U95" s="47">
        <v>176</v>
      </c>
      <c r="V95" s="47">
        <v>166.4</v>
      </c>
      <c r="W95" s="47">
        <v>175.4</v>
      </c>
      <c r="X95" s="47">
        <v>161.1</v>
      </c>
      <c r="Y95" s="47">
        <v>165.8</v>
      </c>
      <c r="Z95" s="47">
        <v>169</v>
      </c>
      <c r="AA95" s="47">
        <v>169.4</v>
      </c>
      <c r="AB95" s="47">
        <v>167.5</v>
      </c>
      <c r="AC95" s="48">
        <v>5.935531001735006E-2</v>
      </c>
    </row>
    <row r="96" spans="1:29" x14ac:dyDescent="0.3">
      <c r="A96">
        <v>2022</v>
      </c>
      <c r="B96" t="s">
        <v>38</v>
      </c>
      <c r="C96">
        <v>156.5</v>
      </c>
      <c r="D96">
        <v>213</v>
      </c>
      <c r="E96">
        <v>175.2</v>
      </c>
      <c r="F96">
        <v>166.6</v>
      </c>
      <c r="G96">
        <v>195.8</v>
      </c>
      <c r="H96">
        <v>174.2</v>
      </c>
      <c r="I96">
        <v>182.1</v>
      </c>
      <c r="J96">
        <v>164.3</v>
      </c>
      <c r="K96">
        <v>120</v>
      </c>
      <c r="L96">
        <v>190</v>
      </c>
      <c r="M96">
        <v>168.4</v>
      </c>
      <c r="N96">
        <v>185.2</v>
      </c>
      <c r="O96">
        <v>175</v>
      </c>
      <c r="P96">
        <v>194.6</v>
      </c>
      <c r="Q96">
        <v>178.3</v>
      </c>
      <c r="R96">
        <v>171.3</v>
      </c>
      <c r="S96">
        <v>177.3</v>
      </c>
      <c r="T96">
        <v>167.8</v>
      </c>
      <c r="U96">
        <v>179.6</v>
      </c>
      <c r="V96">
        <v>167.4</v>
      </c>
      <c r="W96">
        <v>176.1</v>
      </c>
      <c r="X96">
        <v>161.6</v>
      </c>
      <c r="Y96">
        <v>166.3</v>
      </c>
      <c r="Z96">
        <v>171.4</v>
      </c>
      <c r="AA96">
        <v>169.7</v>
      </c>
      <c r="AB96">
        <v>168.4</v>
      </c>
      <c r="AC96" s="34">
        <v>-9.0681837772605856E-2</v>
      </c>
    </row>
    <row r="97" spans="1:29" x14ac:dyDescent="0.3">
      <c r="A97" s="47">
        <v>2022</v>
      </c>
      <c r="B97" s="47" t="s">
        <v>39</v>
      </c>
      <c r="C97" s="47">
        <v>160.30000000000001</v>
      </c>
      <c r="D97" s="47">
        <v>206.5</v>
      </c>
      <c r="E97" s="47">
        <v>169.2</v>
      </c>
      <c r="F97" s="47">
        <v>168.1</v>
      </c>
      <c r="G97" s="47">
        <v>192.4</v>
      </c>
      <c r="H97" s="47">
        <v>172.9</v>
      </c>
      <c r="I97" s="47">
        <v>186.7</v>
      </c>
      <c r="J97" s="47">
        <v>167.2</v>
      </c>
      <c r="K97" s="47">
        <v>120.9</v>
      </c>
      <c r="L97" s="47">
        <v>193.6</v>
      </c>
      <c r="M97" s="47">
        <v>168.8</v>
      </c>
      <c r="N97" s="47">
        <v>186.3</v>
      </c>
      <c r="O97" s="47">
        <v>176.3</v>
      </c>
      <c r="P97" s="47">
        <v>195</v>
      </c>
      <c r="Q97" s="47">
        <v>179.5</v>
      </c>
      <c r="R97" s="47">
        <v>172.7</v>
      </c>
      <c r="S97" s="47">
        <v>178.5</v>
      </c>
      <c r="T97" s="47">
        <v>169</v>
      </c>
      <c r="U97" s="47">
        <v>178.8</v>
      </c>
      <c r="V97" s="47">
        <v>168.5</v>
      </c>
      <c r="W97" s="47">
        <v>176.8</v>
      </c>
      <c r="X97" s="47">
        <v>161.9</v>
      </c>
      <c r="Y97" s="47">
        <v>166.9</v>
      </c>
      <c r="Z97" s="47">
        <v>172.3</v>
      </c>
      <c r="AA97" s="47">
        <v>171.2</v>
      </c>
      <c r="AB97" s="47">
        <v>169.1</v>
      </c>
      <c r="AC97" s="48">
        <v>-7.668973362404008E-2</v>
      </c>
    </row>
    <row r="98" spans="1:29" x14ac:dyDescent="0.3">
      <c r="A98">
        <v>2022</v>
      </c>
      <c r="B98" t="s">
        <v>40</v>
      </c>
      <c r="C98">
        <v>163.5</v>
      </c>
      <c r="D98">
        <v>209.2</v>
      </c>
      <c r="E98">
        <v>169.7</v>
      </c>
      <c r="F98">
        <v>169.7</v>
      </c>
      <c r="G98">
        <v>188.7</v>
      </c>
      <c r="H98">
        <v>165.7</v>
      </c>
      <c r="I98">
        <v>191.8</v>
      </c>
      <c r="J98">
        <v>169.1</v>
      </c>
      <c r="K98">
        <v>121.6</v>
      </c>
      <c r="L98">
        <v>197.3</v>
      </c>
      <c r="M98">
        <v>169.4</v>
      </c>
      <c r="N98">
        <v>187.4</v>
      </c>
      <c r="O98">
        <v>177.8</v>
      </c>
      <c r="P98">
        <v>195.9</v>
      </c>
      <c r="Q98">
        <v>180.9</v>
      </c>
      <c r="R98">
        <v>174.3</v>
      </c>
      <c r="S98">
        <v>179.9</v>
      </c>
      <c r="T98">
        <v>169.5</v>
      </c>
      <c r="U98">
        <v>179.5</v>
      </c>
      <c r="V98">
        <v>169.5</v>
      </c>
      <c r="W98">
        <v>177.8</v>
      </c>
      <c r="X98">
        <v>162.30000000000001</v>
      </c>
      <c r="Y98">
        <v>167.6</v>
      </c>
      <c r="Z98">
        <v>173.1</v>
      </c>
      <c r="AA98">
        <v>170.9</v>
      </c>
      <c r="AB98">
        <v>169.7</v>
      </c>
      <c r="AC98" s="34">
        <v>-6.8685831622176674E-2</v>
      </c>
    </row>
    <row r="99" spans="1:29" x14ac:dyDescent="0.3">
      <c r="A99" s="47">
        <v>2022</v>
      </c>
      <c r="B99" s="47" t="s">
        <v>41</v>
      </c>
      <c r="C99" s="47">
        <v>165.2</v>
      </c>
      <c r="D99" s="47">
        <v>210.9</v>
      </c>
      <c r="E99" s="47">
        <v>170.9</v>
      </c>
      <c r="F99" s="47">
        <v>170.9</v>
      </c>
      <c r="G99" s="47">
        <v>186.5</v>
      </c>
      <c r="H99" s="47">
        <v>163.80000000000001</v>
      </c>
      <c r="I99" s="47">
        <v>199.7</v>
      </c>
      <c r="J99" s="47">
        <v>169.8</v>
      </c>
      <c r="K99" s="47">
        <v>121.9</v>
      </c>
      <c r="L99" s="47">
        <v>199.9</v>
      </c>
      <c r="M99" s="47">
        <v>169.9</v>
      </c>
      <c r="N99" s="47">
        <v>188.3</v>
      </c>
      <c r="O99" s="47">
        <v>179.6</v>
      </c>
      <c r="P99" s="47">
        <v>196.3</v>
      </c>
      <c r="Q99" s="47">
        <v>181.9</v>
      </c>
      <c r="R99" s="47">
        <v>175.3</v>
      </c>
      <c r="S99" s="47">
        <v>181</v>
      </c>
      <c r="T99" s="47">
        <v>171.2</v>
      </c>
      <c r="U99" s="47">
        <v>180.5</v>
      </c>
      <c r="V99" s="47">
        <v>170.4</v>
      </c>
      <c r="W99" s="47">
        <v>178.7</v>
      </c>
      <c r="X99" s="47">
        <v>162.9</v>
      </c>
      <c r="Y99" s="47">
        <v>168.2</v>
      </c>
      <c r="Z99" s="47">
        <v>173.4</v>
      </c>
      <c r="AA99" s="47">
        <v>172.1</v>
      </c>
      <c r="AB99" s="47">
        <v>170.5</v>
      </c>
      <c r="AC99" s="48">
        <v>1.0913901444162821E-2</v>
      </c>
    </row>
    <row r="100" spans="1:29" x14ac:dyDescent="0.3">
      <c r="A100">
        <v>2022</v>
      </c>
      <c r="B100" t="s">
        <v>43</v>
      </c>
      <c r="C100">
        <v>167.4</v>
      </c>
      <c r="D100">
        <v>209.4</v>
      </c>
      <c r="E100">
        <v>181.4</v>
      </c>
      <c r="F100">
        <v>172.3</v>
      </c>
      <c r="G100">
        <v>188.9</v>
      </c>
      <c r="H100">
        <v>160.69999999999999</v>
      </c>
      <c r="I100">
        <v>183.1</v>
      </c>
      <c r="J100">
        <v>170.5</v>
      </c>
      <c r="K100">
        <v>122.1</v>
      </c>
      <c r="L100">
        <v>202.8</v>
      </c>
      <c r="M100">
        <v>170.4</v>
      </c>
      <c r="N100">
        <v>189.5</v>
      </c>
      <c r="O100">
        <v>178.3</v>
      </c>
      <c r="P100">
        <v>196.9</v>
      </c>
      <c r="Q100">
        <v>183.1</v>
      </c>
      <c r="R100">
        <v>176.2</v>
      </c>
      <c r="S100">
        <v>182.1</v>
      </c>
      <c r="T100">
        <v>171.8</v>
      </c>
      <c r="U100">
        <v>181.3</v>
      </c>
      <c r="V100">
        <v>171.4</v>
      </c>
      <c r="W100">
        <v>179.8</v>
      </c>
      <c r="X100">
        <v>163</v>
      </c>
      <c r="Y100">
        <v>168.5</v>
      </c>
      <c r="Z100">
        <v>173.7</v>
      </c>
      <c r="AA100">
        <v>173.6</v>
      </c>
      <c r="AB100">
        <v>171.1</v>
      </c>
      <c r="AC100" s="34">
        <v>-4.5256270447110225E-2</v>
      </c>
    </row>
    <row r="101" spans="1:29" x14ac:dyDescent="0.3">
      <c r="A101" s="47">
        <v>2022</v>
      </c>
      <c r="B101" s="47" t="s">
        <v>44</v>
      </c>
      <c r="C101" s="47">
        <v>169.2</v>
      </c>
      <c r="D101" s="47">
        <v>209</v>
      </c>
      <c r="E101" s="47">
        <v>190.2</v>
      </c>
      <c r="F101" s="47">
        <v>173.6</v>
      </c>
      <c r="G101" s="47">
        <v>188.5</v>
      </c>
      <c r="H101" s="47">
        <v>158</v>
      </c>
      <c r="I101" s="47">
        <v>159.9</v>
      </c>
      <c r="J101" s="47">
        <v>170.8</v>
      </c>
      <c r="K101" s="47">
        <v>121.8</v>
      </c>
      <c r="L101" s="47">
        <v>205.2</v>
      </c>
      <c r="M101" s="47">
        <v>171</v>
      </c>
      <c r="N101" s="47">
        <v>190.3</v>
      </c>
      <c r="O101" s="47">
        <v>175.9</v>
      </c>
      <c r="P101" s="47">
        <v>197.3</v>
      </c>
      <c r="Q101" s="47">
        <v>184</v>
      </c>
      <c r="R101" s="47">
        <v>177</v>
      </c>
      <c r="S101" s="47">
        <v>183</v>
      </c>
      <c r="T101" s="47">
        <v>170.7</v>
      </c>
      <c r="U101" s="47">
        <v>182</v>
      </c>
      <c r="V101" s="47">
        <v>172.1</v>
      </c>
      <c r="W101" s="47">
        <v>181.1</v>
      </c>
      <c r="X101" s="47">
        <v>163.4</v>
      </c>
      <c r="Y101" s="47">
        <v>168.9</v>
      </c>
      <c r="Z101" s="47">
        <v>174.1</v>
      </c>
      <c r="AA101" s="47">
        <v>175.8</v>
      </c>
      <c r="AB101" s="47">
        <v>172</v>
      </c>
      <c r="AC101" s="48">
        <v>-0.10793832095945177</v>
      </c>
    </row>
    <row r="102" spans="1:29" x14ac:dyDescent="0.3">
      <c r="A102">
        <v>2023</v>
      </c>
      <c r="B102" t="s">
        <v>29</v>
      </c>
      <c r="C102">
        <v>173.8</v>
      </c>
      <c r="D102">
        <v>210.7</v>
      </c>
      <c r="E102">
        <v>194.5</v>
      </c>
      <c r="F102">
        <v>174.6</v>
      </c>
      <c r="G102">
        <v>187.2</v>
      </c>
      <c r="H102">
        <v>158.30000000000001</v>
      </c>
      <c r="I102">
        <v>153.9</v>
      </c>
      <c r="J102">
        <v>170.9</v>
      </c>
      <c r="K102">
        <v>121.1</v>
      </c>
      <c r="L102">
        <v>208.4</v>
      </c>
      <c r="M102">
        <v>171.4</v>
      </c>
      <c r="N102">
        <v>191.2</v>
      </c>
      <c r="O102">
        <v>176.7</v>
      </c>
      <c r="P102">
        <v>198.2</v>
      </c>
      <c r="Q102">
        <v>184.9</v>
      </c>
      <c r="R102">
        <v>177.6</v>
      </c>
      <c r="S102">
        <v>183.8</v>
      </c>
      <c r="T102">
        <v>172.1</v>
      </c>
      <c r="U102">
        <v>182</v>
      </c>
      <c r="V102">
        <v>172.9</v>
      </c>
      <c r="W102">
        <v>182.3</v>
      </c>
      <c r="X102">
        <v>163.6</v>
      </c>
      <c r="Y102">
        <v>169.5</v>
      </c>
      <c r="Z102">
        <v>174.3</v>
      </c>
      <c r="AA102">
        <v>178.6</v>
      </c>
      <c r="AB102">
        <v>172.8</v>
      </c>
      <c r="AC102" s="34">
        <v>3.6107554417413645E-2</v>
      </c>
    </row>
    <row r="103" spans="1:29" x14ac:dyDescent="0.3">
      <c r="A103" s="47">
        <v>2023</v>
      </c>
      <c r="B103" s="47" t="s">
        <v>33</v>
      </c>
      <c r="C103" s="47">
        <v>174.4</v>
      </c>
      <c r="D103" s="47">
        <v>207.7</v>
      </c>
      <c r="E103" s="47">
        <v>175.2</v>
      </c>
      <c r="F103" s="47">
        <v>177.3</v>
      </c>
      <c r="G103" s="47">
        <v>179.3</v>
      </c>
      <c r="H103" s="47">
        <v>169.5</v>
      </c>
      <c r="I103" s="47">
        <v>152.69999999999999</v>
      </c>
      <c r="J103" s="47">
        <v>171</v>
      </c>
      <c r="K103" s="47">
        <v>120</v>
      </c>
      <c r="L103" s="47">
        <v>209.7</v>
      </c>
      <c r="M103" s="47">
        <v>172.3</v>
      </c>
      <c r="N103" s="47">
        <v>193</v>
      </c>
      <c r="O103" s="47">
        <v>177</v>
      </c>
      <c r="P103" s="47">
        <v>199.5</v>
      </c>
      <c r="Q103" s="47">
        <v>186.2</v>
      </c>
      <c r="R103" s="47">
        <v>178.7</v>
      </c>
      <c r="S103" s="47">
        <v>185.1</v>
      </c>
      <c r="T103" s="47">
        <v>173.5</v>
      </c>
      <c r="U103" s="47">
        <v>182.1</v>
      </c>
      <c r="V103" s="47">
        <v>174.2</v>
      </c>
      <c r="W103" s="47">
        <v>184.4</v>
      </c>
      <c r="X103" s="47">
        <v>164.2</v>
      </c>
      <c r="Y103" s="47">
        <v>170.3</v>
      </c>
      <c r="Z103" s="47">
        <v>175</v>
      </c>
      <c r="AA103" s="47">
        <v>181</v>
      </c>
      <c r="AB103" s="47">
        <v>174.1</v>
      </c>
      <c r="AC103" s="48">
        <v>1.6806722689075571E-2</v>
      </c>
    </row>
    <row r="104" spans="1:29" x14ac:dyDescent="0.3">
      <c r="A104">
        <v>2023</v>
      </c>
      <c r="B104" t="s">
        <v>34</v>
      </c>
      <c r="C104">
        <v>174.4</v>
      </c>
      <c r="D104">
        <v>207.7</v>
      </c>
      <c r="E104">
        <v>175.2</v>
      </c>
      <c r="F104">
        <v>177.3</v>
      </c>
      <c r="G104">
        <v>179.2</v>
      </c>
      <c r="H104">
        <v>169.5</v>
      </c>
      <c r="I104">
        <v>152.80000000000001</v>
      </c>
      <c r="J104">
        <v>171.1</v>
      </c>
      <c r="K104">
        <v>120</v>
      </c>
      <c r="L104">
        <v>209.7</v>
      </c>
      <c r="M104">
        <v>172.3</v>
      </c>
      <c r="N104">
        <v>193</v>
      </c>
      <c r="O104">
        <v>177</v>
      </c>
      <c r="P104">
        <v>199.5</v>
      </c>
      <c r="Q104">
        <v>186.1</v>
      </c>
      <c r="R104">
        <v>178.7</v>
      </c>
      <c r="S104">
        <v>185.1</v>
      </c>
      <c r="T104">
        <v>173.5</v>
      </c>
      <c r="U104">
        <v>181.9</v>
      </c>
      <c r="V104">
        <v>174.2</v>
      </c>
      <c r="W104">
        <v>184.4</v>
      </c>
      <c r="X104">
        <v>164.2</v>
      </c>
      <c r="Y104">
        <v>170.3</v>
      </c>
      <c r="Z104">
        <v>175</v>
      </c>
      <c r="AA104">
        <v>181</v>
      </c>
      <c r="AB104">
        <v>174.1</v>
      </c>
      <c r="AC104" s="34">
        <v>-4.5454545454545414E-2</v>
      </c>
    </row>
    <row r="105" spans="1:29" x14ac:dyDescent="0.3">
      <c r="A105" s="47">
        <v>2023</v>
      </c>
      <c r="B105" s="47" t="s">
        <v>35</v>
      </c>
      <c r="C105" s="47">
        <v>173.8</v>
      </c>
      <c r="D105" s="47">
        <v>209.3</v>
      </c>
      <c r="E105" s="47">
        <v>169.6</v>
      </c>
      <c r="F105" s="47">
        <v>178.4</v>
      </c>
      <c r="G105" s="47">
        <v>174.9</v>
      </c>
      <c r="H105" s="47">
        <v>176.3</v>
      </c>
      <c r="I105" s="47">
        <v>155.4</v>
      </c>
      <c r="J105" s="47">
        <v>173.4</v>
      </c>
      <c r="K105" s="47">
        <v>121.3</v>
      </c>
      <c r="L105" s="47">
        <v>212.9</v>
      </c>
      <c r="M105" s="47">
        <v>172.9</v>
      </c>
      <c r="N105" s="47">
        <v>193.5</v>
      </c>
      <c r="O105" s="47">
        <v>177.9</v>
      </c>
      <c r="P105" s="47">
        <v>200.6</v>
      </c>
      <c r="Q105" s="47">
        <v>186.9</v>
      </c>
      <c r="R105" s="47">
        <v>179.2</v>
      </c>
      <c r="S105" s="47">
        <v>185.7</v>
      </c>
      <c r="T105" s="47">
        <v>175.2</v>
      </c>
      <c r="U105" s="47">
        <v>181.7</v>
      </c>
      <c r="V105" s="47">
        <v>174.6</v>
      </c>
      <c r="W105" s="47">
        <v>185</v>
      </c>
      <c r="X105" s="47">
        <v>164.5</v>
      </c>
      <c r="Y105" s="47">
        <v>170.7</v>
      </c>
      <c r="Z105" s="47">
        <v>176.4</v>
      </c>
      <c r="AA105" s="47">
        <v>184</v>
      </c>
      <c r="AB105" s="47">
        <v>175</v>
      </c>
      <c r="AC105" s="48">
        <v>6.6462948815889877E-2</v>
      </c>
    </row>
    <row r="106" spans="1:29" x14ac:dyDescent="0.3">
      <c r="A106">
        <v>2023</v>
      </c>
      <c r="B106" t="s">
        <v>36</v>
      </c>
      <c r="C106">
        <v>173.7</v>
      </c>
      <c r="D106">
        <v>214.3</v>
      </c>
      <c r="E106">
        <v>173.2</v>
      </c>
      <c r="F106">
        <v>179.5</v>
      </c>
      <c r="G106">
        <v>170</v>
      </c>
      <c r="H106">
        <v>172.2</v>
      </c>
      <c r="I106">
        <v>161</v>
      </c>
      <c r="J106">
        <v>175.6</v>
      </c>
      <c r="K106">
        <v>122.7</v>
      </c>
      <c r="L106">
        <v>218</v>
      </c>
      <c r="M106">
        <v>173.4</v>
      </c>
      <c r="N106">
        <v>194.2</v>
      </c>
      <c r="O106">
        <v>179.1</v>
      </c>
      <c r="P106">
        <v>201</v>
      </c>
      <c r="Q106">
        <v>187.3</v>
      </c>
      <c r="R106">
        <v>179.7</v>
      </c>
      <c r="S106">
        <v>186.2</v>
      </c>
      <c r="T106">
        <v>175.6</v>
      </c>
      <c r="U106">
        <v>182.8</v>
      </c>
      <c r="V106">
        <v>175.2</v>
      </c>
      <c r="W106">
        <v>185.7</v>
      </c>
      <c r="X106">
        <v>164.8</v>
      </c>
      <c r="Y106">
        <v>171.2</v>
      </c>
      <c r="Z106">
        <v>177.1</v>
      </c>
      <c r="AA106">
        <v>185.2</v>
      </c>
      <c r="AB106">
        <v>175.7</v>
      </c>
      <c r="AC106" s="34">
        <v>-0.1048233046800382</v>
      </c>
    </row>
  </sheetData>
  <mergeCells count="6">
    <mergeCell ref="A76:B76"/>
    <mergeCell ref="A4:B4"/>
    <mergeCell ref="A1:AC3"/>
    <mergeCell ref="A37:AC39"/>
    <mergeCell ref="A40:B40"/>
    <mergeCell ref="A73:AC75"/>
  </mergeCells>
  <phoneticPr fontId="37"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All_India_Index_Upto_April23</vt:lpstr>
      <vt:lpstr>Q1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SHEHZAN RANGREZ</cp:lastModifiedBy>
  <dcterms:created xsi:type="dcterms:W3CDTF">2026-09-12T08:26:56Z</dcterms:created>
  <dcterms:modified xsi:type="dcterms:W3CDTF">2026-09-30T13:39:33Z</dcterms:modified>
</cp:coreProperties>
</file>